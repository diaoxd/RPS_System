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概念_20260212_18" sheetId="1" r:id="rId1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<sst xmlns="http://schemas.openxmlformats.org/spreadsheetml/2006/main" count="282" uniqueCount="282">
  <si>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</si>
  <si>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</si>
  <si>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</si>
  <si>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</si>
  <si>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</si>
  <si>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</si>
  <si>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</si>
  <si>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</si>
  <si>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</si>
  <si>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</si>
  <si>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</si>
  <si>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</si>
  <si>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</si>
  <si>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白酒概念</t>
  </si>
  <si>
    <t>苹果概念</t>
  </si>
  <si>
    <t>特斯拉概念</t>
  </si>
  <si>
    <t>安防服务</t>
  </si>
  <si>
    <t>聚氨酯</t>
  </si>
  <si>
    <t>机器人概念</t>
  </si>
  <si>
    <t>充电桩</t>
  </si>
  <si>
    <t>超导概念</t>
  </si>
  <si>
    <t>海南自贸</t>
  </si>
  <si>
    <t>智能交通</t>
  </si>
  <si>
    <t>CPO概念</t>
  </si>
  <si>
    <t>3D打印</t>
  </si>
  <si>
    <t>光伏</t>
  </si>
  <si>
    <t>氟概念</t>
  </si>
  <si>
    <t>卫星导航</t>
  </si>
  <si>
    <t>智能家居</t>
  </si>
  <si>
    <t>节能环保</t>
  </si>
  <si>
    <t>光刻机</t>
  </si>
  <si>
    <t>云计算</t>
  </si>
  <si>
    <t>特高压</t>
  </si>
  <si>
    <t>食品安全</t>
  </si>
  <si>
    <t>智能电网</t>
  </si>
  <si>
    <t>互联金融</t>
  </si>
  <si>
    <t>风电</t>
  </si>
  <si>
    <t>5G概念</t>
  </si>
  <si>
    <t>锂电池概念</t>
  </si>
  <si>
    <t>生物疫苗</t>
  </si>
  <si>
    <t>一带一路</t>
  </si>
  <si>
    <t>智能穿戴</t>
  </si>
  <si>
    <t>无人驾驶</t>
  </si>
  <si>
    <t>无线耳机</t>
  </si>
  <si>
    <t>地热能</t>
  </si>
  <si>
    <t>婴童概念</t>
  </si>
  <si>
    <t>博彩概念</t>
  </si>
  <si>
    <t>磷概念</t>
  </si>
  <si>
    <t>基因概念</t>
  </si>
  <si>
    <t>高端装备</t>
  </si>
  <si>
    <t>汽车电子</t>
  </si>
  <si>
    <t>芯片</t>
  </si>
  <si>
    <t>上海自贸</t>
  </si>
  <si>
    <t>通达信88</t>
  </si>
  <si>
    <t>国产软件</t>
  </si>
  <si>
    <t>碳纤维</t>
  </si>
  <si>
    <t>小米概念</t>
  </si>
  <si>
    <t>信息安全</t>
  </si>
  <si>
    <t>PCB概念</t>
  </si>
  <si>
    <t>超清视频</t>
  </si>
  <si>
    <t>燃料电池</t>
  </si>
  <si>
    <t>胎压监测</t>
  </si>
  <si>
    <t>超级电容</t>
  </si>
  <si>
    <t>物联网</t>
  </si>
  <si>
    <t>工业互联</t>
  </si>
  <si>
    <t>海峡西岸</t>
  </si>
  <si>
    <t>消费电子概念</t>
  </si>
  <si>
    <t>人形机器人</t>
  </si>
  <si>
    <t>烟草概念</t>
  </si>
  <si>
    <t>石墨烯</t>
  </si>
  <si>
    <t>OLED概念</t>
  </si>
  <si>
    <t>国防军工</t>
  </si>
  <si>
    <t>可控核聚变</t>
  </si>
  <si>
    <t>地摊经济</t>
  </si>
  <si>
    <t>Sora概念</t>
  </si>
  <si>
    <t>液冷服务器</t>
  </si>
  <si>
    <t>含H股</t>
  </si>
  <si>
    <t>铜缆高速连接</t>
  </si>
  <si>
    <t>商业航天</t>
  </si>
  <si>
    <t>光通信</t>
  </si>
  <si>
    <t>AI眼镜</t>
  </si>
  <si>
    <t>存储芯片</t>
  </si>
  <si>
    <t>折叠屏</t>
  </si>
  <si>
    <t>6G概念</t>
  </si>
  <si>
    <t>粤港澳</t>
  </si>
  <si>
    <t>AIGC概念</t>
  </si>
  <si>
    <t>可燃冰</t>
  </si>
  <si>
    <t>民营医院</t>
  </si>
  <si>
    <t>ETC概念</t>
  </si>
  <si>
    <t>元宇宙概念</t>
  </si>
  <si>
    <t>口罩防护</t>
  </si>
  <si>
    <t>页岩气</t>
  </si>
  <si>
    <t>C2M概念</t>
  </si>
  <si>
    <t>量子科技</t>
  </si>
  <si>
    <t>百度概念</t>
  </si>
  <si>
    <t>数字货币</t>
  </si>
  <si>
    <t>云游戏</t>
  </si>
  <si>
    <t>减速器</t>
  </si>
  <si>
    <t>PEEK材料</t>
  </si>
  <si>
    <t>新能源车</t>
  </si>
  <si>
    <t>创投概念</t>
  </si>
  <si>
    <t>有机硅概念</t>
  </si>
  <si>
    <t>ChatGPT概念</t>
  </si>
  <si>
    <t>草甘膦</t>
  </si>
  <si>
    <t>数据中心</t>
  </si>
  <si>
    <t>人工智能</t>
  </si>
  <si>
    <t>Web3概念</t>
  </si>
  <si>
    <t>毫米波雷达</t>
  </si>
  <si>
    <t>核电核能</t>
  </si>
  <si>
    <t>阿里概念</t>
  </si>
  <si>
    <t>玻璃基板</t>
  </si>
  <si>
    <t>汽车热管理</t>
  </si>
  <si>
    <t>低空经济</t>
  </si>
  <si>
    <t>边缘计算</t>
  </si>
  <si>
    <t>智能医疗</t>
  </si>
  <si>
    <t>猪肉</t>
  </si>
  <si>
    <t>先进封装</t>
  </si>
  <si>
    <t>英伟达概念</t>
  </si>
  <si>
    <t>工业母机</t>
  </si>
  <si>
    <t>碳中和</t>
  </si>
  <si>
    <t>飞行汽车</t>
  </si>
  <si>
    <t>财税数字化</t>
  </si>
  <si>
    <t>数字孪生</t>
  </si>
  <si>
    <t>人脑工程</t>
  </si>
  <si>
    <t>大数据</t>
  </si>
  <si>
    <t>黄金概念</t>
  </si>
  <si>
    <t>钛金属</t>
  </si>
  <si>
    <t>东数西算</t>
  </si>
  <si>
    <t>体育概念</t>
  </si>
  <si>
    <t>军民融合</t>
  </si>
  <si>
    <t>氢能源</t>
  </si>
  <si>
    <t>军工信息化</t>
  </si>
  <si>
    <t>水利建设</t>
  </si>
  <si>
    <t>AI手机PC</t>
  </si>
  <si>
    <t>国资云</t>
  </si>
  <si>
    <t>储能</t>
  </si>
  <si>
    <t>生物质能</t>
  </si>
  <si>
    <t>华为汽车</t>
  </si>
  <si>
    <t>维生素</t>
  </si>
  <si>
    <t>培育钻石</t>
  </si>
  <si>
    <t>DeepSeek概念</t>
  </si>
  <si>
    <t>大飞机</t>
  </si>
  <si>
    <t>机器视觉</t>
  </si>
  <si>
    <t>小米汽车概念</t>
  </si>
  <si>
    <t>乡村振兴</t>
  </si>
  <si>
    <t>MicroLED</t>
  </si>
  <si>
    <t>混合现实</t>
  </si>
  <si>
    <t>雄安新区</t>
  </si>
  <si>
    <t>信创</t>
  </si>
  <si>
    <t>网络游戏</t>
  </si>
  <si>
    <t>新材料</t>
  </si>
  <si>
    <t>航运概念</t>
  </si>
  <si>
    <t>含可转债</t>
  </si>
  <si>
    <t>华为海思</t>
  </si>
  <si>
    <t>新型工业化</t>
  </si>
  <si>
    <t>数据确权</t>
  </si>
  <si>
    <t>车联网</t>
  </si>
  <si>
    <t>跨境支付CIPS</t>
  </si>
  <si>
    <t>NMN概念</t>
  </si>
  <si>
    <t>养老概念</t>
  </si>
  <si>
    <t>智慧政务</t>
  </si>
  <si>
    <t>高压快充</t>
  </si>
  <si>
    <t>虚拟电厂</t>
  </si>
  <si>
    <t>种业</t>
  </si>
  <si>
    <t>华为算力</t>
  </si>
  <si>
    <t>新型烟草</t>
  </si>
  <si>
    <t>华为鸿蒙</t>
  </si>
  <si>
    <t>热泵概念</t>
  </si>
  <si>
    <t>第三代半导体</t>
  </si>
  <si>
    <t>超临界发电</t>
  </si>
  <si>
    <t>中俄贸易</t>
  </si>
  <si>
    <t>时空大数据</t>
  </si>
  <si>
    <t>BIPV概念</t>
  </si>
  <si>
    <t>复合铜箔</t>
  </si>
  <si>
    <t>高铁</t>
  </si>
  <si>
    <t>操作系统</t>
  </si>
  <si>
    <t>智谱AI</t>
  </si>
  <si>
    <t>虫害防治</t>
  </si>
  <si>
    <t>电子身份证</t>
  </si>
  <si>
    <t>短剧游戏</t>
  </si>
  <si>
    <t>跨境电商</t>
  </si>
  <si>
    <t>NFT概念</t>
  </si>
  <si>
    <t>工业软件</t>
  </si>
  <si>
    <t>钒电池</t>
  </si>
  <si>
    <t>血氧仪</t>
  </si>
  <si>
    <t>多模态AI</t>
  </si>
  <si>
    <t>星闪概念</t>
  </si>
  <si>
    <t>垃圾分类</t>
  </si>
  <si>
    <t>冷链物流</t>
  </si>
  <si>
    <t>镍金属</t>
  </si>
  <si>
    <t>小红书概念</t>
  </si>
  <si>
    <t>天然气</t>
  </si>
  <si>
    <t>算力租赁</t>
  </si>
  <si>
    <t>PVDF概念</t>
  </si>
  <si>
    <t>钴金属</t>
  </si>
  <si>
    <t>AI智能体</t>
  </si>
  <si>
    <t>土地流转</t>
  </si>
  <si>
    <t>稀缺资源</t>
  </si>
  <si>
    <t>汽车拆解</t>
  </si>
  <si>
    <t>核污染防治</t>
  </si>
  <si>
    <t>新零售</t>
  </si>
  <si>
    <t>MCU芯片</t>
  </si>
  <si>
    <t>地下管网</t>
  </si>
  <si>
    <t>EDA概念</t>
  </si>
  <si>
    <t>旅游概念</t>
  </si>
  <si>
    <t>宠物经济</t>
  </si>
  <si>
    <t>装配式建筑</t>
  </si>
  <si>
    <t>HJT电池</t>
  </si>
  <si>
    <t>DRG-DIP</t>
  </si>
  <si>
    <t>稀土永磁</t>
  </si>
  <si>
    <t>知识付费</t>
  </si>
  <si>
    <t>BC电池</t>
  </si>
  <si>
    <t>海洋经济</t>
  </si>
  <si>
    <t>含B股</t>
  </si>
  <si>
    <t>免税概念</t>
  </si>
  <si>
    <t>合成生物</t>
  </si>
  <si>
    <t>抖音概念</t>
  </si>
  <si>
    <t>军贸概念</t>
  </si>
  <si>
    <t>家庭医生</t>
  </si>
  <si>
    <t>物业管理概念</t>
  </si>
  <si>
    <t>盐湖提锂</t>
  </si>
  <si>
    <t>数字水印</t>
  </si>
  <si>
    <t>雅江水电概念</t>
  </si>
  <si>
    <t>降解塑料</t>
  </si>
  <si>
    <t>AI医疗概念</t>
  </si>
  <si>
    <t>IP经济</t>
  </si>
  <si>
    <t>固态电池</t>
  </si>
  <si>
    <t>绿色建筑</t>
  </si>
  <si>
    <t>工业气体</t>
  </si>
  <si>
    <t>人造肉</t>
  </si>
  <si>
    <t>电子纸</t>
  </si>
  <si>
    <t>虚拟现实</t>
  </si>
  <si>
    <t>仿制药</t>
  </si>
  <si>
    <t>肝炎概念</t>
  </si>
  <si>
    <t>数据要素</t>
  </si>
  <si>
    <t>外骨骼机器人</t>
  </si>
  <si>
    <t>一体压铸</t>
  </si>
  <si>
    <t>供销社</t>
  </si>
  <si>
    <t>风沙治理</t>
  </si>
  <si>
    <t>知识产权</t>
  </si>
  <si>
    <t>减肥药</t>
  </si>
  <si>
    <t>ST板块</t>
  </si>
  <si>
    <t>绿色电力</t>
  </si>
  <si>
    <t>中特估</t>
  </si>
  <si>
    <t>远程办公</t>
  </si>
  <si>
    <t>新型城镇</t>
  </si>
  <si>
    <t>智慧城市</t>
  </si>
  <si>
    <t>MiniLED</t>
  </si>
  <si>
    <t>换电概念</t>
  </si>
  <si>
    <t>网红经济</t>
  </si>
  <si>
    <t>创新药</t>
  </si>
  <si>
    <t>代糖概念</t>
  </si>
  <si>
    <t>医美概念</t>
  </si>
  <si>
    <t>预制菜</t>
  </si>
  <si>
    <t>光热发电</t>
  </si>
  <si>
    <t>区块链</t>
  </si>
  <si>
    <t>腾讯概念</t>
  </si>
  <si>
    <t>含GDR</t>
  </si>
  <si>
    <t>免疫治疗</t>
  </si>
  <si>
    <t>汽车芯片</t>
  </si>
  <si>
    <t>钙钛矿电池</t>
  </si>
  <si>
    <t>锂矿</t>
  </si>
  <si>
    <t>化肥概念</t>
  </si>
  <si>
    <t>医废处理</t>
  </si>
  <si>
    <t>钠电池</t>
  </si>
  <si>
    <t>动力电池回收</t>
  </si>
  <si>
    <t>赛马概念</t>
  </si>
  <si>
    <t>辅助生殖</t>
  </si>
  <si>
    <t>职业教育</t>
  </si>
  <si>
    <t>无人机</t>
  </si>
  <si>
    <t>POE胶膜</t>
  </si>
  <si>
    <t>幽门螺杆菌</t>
  </si>
  <si>
    <t>工业大麻</t>
  </si>
  <si>
    <t>TOPCon电池</t>
  </si>
  <si>
    <t>分散染料</t>
  </si>
  <si>
    <t>次新股</t>
  </si>
  <si>
    <t>粮食概念</t>
  </si>
  <si>
    <t>CXO概念</t>
  </si>
  <si>
    <t>鸡肉</t>
  </si>
  <si>
    <t>租购同权</t>
  </si>
  <si>
    <t>水产品</t>
  </si>
  <si>
    <t>PPP概念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</si>
</sst>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zoomScaleSheetLayoutView="60" topLeftCell="A259" workbookViewId="0">
      <selection activeCell="A271" sqref="$A271:$XFD271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"880564"</f>
        <v>880564</v>
      </c>
      <c r="B2" t="s">
        <v>13</v>
      </c>
      <c r="C2">
        <v>-1.62</v>
      </c>
      <c r="D2">
        <v>7574.89</v>
      </c>
      <c r="E2">
        <v>19782428672</v>
      </c>
      <c r="F2">
        <v>14</v>
      </c>
      <c r="H2">
        <v>8.6</v>
      </c>
      <c r="J2">
        <v>58</v>
      </c>
      <c r="L2">
        <v>3.9</v>
      </c>
    </row>
    <row r="3" spans="1:12">
      <c r="A3" t="str">
        <f>"880574"</f>
        <v>880574</v>
      </c>
      <c r="B3" t="s">
        <v>14</v>
      </c>
      <c r="C3">
        <v>1.02</v>
      </c>
      <c r="D3">
        <v>6752.95</v>
      </c>
      <c r="E3">
        <v>111623364608</v>
      </c>
      <c r="F3">
        <v>76.1</v>
      </c>
      <c r="H3">
        <v>82.2</v>
      </c>
      <c r="J3">
        <v>83.4</v>
      </c>
      <c r="L3">
        <v>89.9</v>
      </c>
    </row>
    <row r="4" spans="1:12">
      <c r="A4" t="str">
        <f>"880902"</f>
        <v>880902</v>
      </c>
      <c r="B4" t="s">
        <v>15</v>
      </c>
      <c r="C4">
        <v>0.54</v>
      </c>
      <c r="D4">
        <v>6159.97</v>
      </c>
      <c r="E4">
        <v>173652983808</v>
      </c>
      <c r="F4">
        <v>70</v>
      </c>
      <c r="H4">
        <v>67.9</v>
      </c>
      <c r="J4">
        <v>58.2</v>
      </c>
      <c r="L4">
        <v>59.4</v>
      </c>
    </row>
    <row r="5" spans="1:12">
      <c r="A5" t="str">
        <f>"880577"</f>
        <v>880577</v>
      </c>
      <c r="B5" t="s">
        <v>16</v>
      </c>
      <c r="C5">
        <v>0.3</v>
      </c>
      <c r="D5">
        <v>6082.62</v>
      </c>
      <c r="E5">
        <v>59095166976</v>
      </c>
      <c r="F5">
        <v>49.5</v>
      </c>
      <c r="H5">
        <v>52.1</v>
      </c>
      <c r="J5">
        <v>21.2</v>
      </c>
      <c r="L5">
        <v>56.4</v>
      </c>
    </row>
    <row r="6" spans="1:12">
      <c r="A6" t="str">
        <f>"880587"</f>
        <v>880587</v>
      </c>
      <c r="B6" t="s">
        <v>17</v>
      </c>
      <c r="C6">
        <v>-0.15</v>
      </c>
      <c r="D6">
        <v>5900.02</v>
      </c>
      <c r="E6">
        <v>15204669440</v>
      </c>
      <c r="F6">
        <v>71.4</v>
      </c>
      <c r="H6">
        <v>64.4</v>
      </c>
      <c r="J6">
        <v>87.8</v>
      </c>
      <c r="L6">
        <v>67.3</v>
      </c>
    </row>
    <row r="7" spans="1:12">
      <c r="A7" t="str">
        <f>"880904"</f>
        <v>880904</v>
      </c>
      <c r="B7" t="s">
        <v>18</v>
      </c>
      <c r="C7">
        <v>0.62</v>
      </c>
      <c r="D7">
        <v>5575.39</v>
      </c>
      <c r="E7">
        <v>496657006592</v>
      </c>
      <c r="F7">
        <v>45</v>
      </c>
      <c r="H7">
        <v>58.1</v>
      </c>
      <c r="J7">
        <v>49.6</v>
      </c>
      <c r="L7">
        <v>54.3</v>
      </c>
    </row>
    <row r="8" spans="1:12">
      <c r="A8" t="str">
        <f>"880583"</f>
        <v>880583</v>
      </c>
      <c r="B8" t="s">
        <v>19</v>
      </c>
      <c r="C8">
        <v>1.21</v>
      </c>
      <c r="D8">
        <v>5508.7</v>
      </c>
      <c r="E8">
        <v>181711519744</v>
      </c>
      <c r="F8">
        <v>62.3</v>
      </c>
      <c r="H8">
        <v>51.6</v>
      </c>
      <c r="J8">
        <v>66.8</v>
      </c>
      <c r="L8">
        <v>58.2</v>
      </c>
    </row>
    <row r="9" spans="1:12">
      <c r="A9" t="str">
        <f>"880905"</f>
        <v>880905</v>
      </c>
      <c r="B9" t="s">
        <v>20</v>
      </c>
      <c r="C9">
        <v>0.98</v>
      </c>
      <c r="D9">
        <v>5136.48</v>
      </c>
      <c r="E9">
        <v>30407456768</v>
      </c>
      <c r="F9">
        <v>93.9</v>
      </c>
      <c r="G9">
        <v>93.9</v>
      </c>
      <c r="H9">
        <v>97.1</v>
      </c>
      <c r="I9">
        <v>97.1</v>
      </c>
      <c r="J9">
        <v>83.6</v>
      </c>
      <c r="L9">
        <v>64.3</v>
      </c>
    </row>
    <row r="10" spans="1:12">
      <c r="A10" t="str">
        <f>"880567"</f>
        <v>880567</v>
      </c>
      <c r="B10" t="s">
        <v>21</v>
      </c>
      <c r="C10">
        <v>-1.1</v>
      </c>
      <c r="D10">
        <v>4812.02</v>
      </c>
      <c r="E10">
        <v>31108534272</v>
      </c>
      <c r="F10">
        <v>81.5</v>
      </c>
      <c r="H10">
        <v>25</v>
      </c>
      <c r="J10">
        <v>58.7</v>
      </c>
      <c r="L10">
        <v>22.1</v>
      </c>
    </row>
    <row r="11" spans="1:12">
      <c r="A11" t="str">
        <f>"880580"</f>
        <v>880580</v>
      </c>
      <c r="B11" t="s">
        <v>22</v>
      </c>
      <c r="C11">
        <v>0.16</v>
      </c>
      <c r="D11">
        <v>4698.61</v>
      </c>
      <c r="E11">
        <v>63870599168</v>
      </c>
      <c r="F11">
        <v>24.5</v>
      </c>
      <c r="H11">
        <v>43.9</v>
      </c>
      <c r="J11">
        <v>16.3</v>
      </c>
      <c r="L11">
        <v>47</v>
      </c>
    </row>
    <row r="12" spans="1:13">
      <c r="A12" t="str">
        <f>"880656"</f>
        <v>880656</v>
      </c>
      <c r="B12" t="s">
        <v>23</v>
      </c>
      <c r="C12">
        <v>2.66</v>
      </c>
      <c r="D12">
        <v>4646.35</v>
      </c>
      <c r="E12">
        <v>245587492864</v>
      </c>
      <c r="F12">
        <v>97.1</v>
      </c>
      <c r="G12">
        <v>97.1</v>
      </c>
      <c r="H12">
        <v>98.8</v>
      </c>
      <c r="I12">
        <v>98.8</v>
      </c>
      <c r="J12">
        <v>95.1</v>
      </c>
      <c r="K12">
        <v>95.1</v>
      </c>
      <c r="L12">
        <v>96.5</v>
      </c>
      <c r="M12">
        <v>96.5</v>
      </c>
    </row>
    <row r="13" spans="1:12">
      <c r="A13" t="str">
        <f>"880569"</f>
        <v>880569</v>
      </c>
      <c r="B13" t="s">
        <v>24</v>
      </c>
      <c r="C13">
        <v>0.7</v>
      </c>
      <c r="D13">
        <v>4152.62</v>
      </c>
      <c r="E13">
        <v>66975174656</v>
      </c>
      <c r="F13">
        <v>69.3</v>
      </c>
      <c r="H13">
        <v>83.4</v>
      </c>
      <c r="J13">
        <v>70.8</v>
      </c>
      <c r="L13">
        <v>54.5</v>
      </c>
    </row>
    <row r="14" spans="1:12">
      <c r="A14" t="str">
        <f>"880544"</f>
        <v>880544</v>
      </c>
      <c r="B14" t="s">
        <v>25</v>
      </c>
      <c r="C14">
        <v>0.55</v>
      </c>
      <c r="D14">
        <v>4045.46</v>
      </c>
      <c r="E14">
        <v>367143452672</v>
      </c>
      <c r="F14">
        <v>74.7</v>
      </c>
      <c r="H14">
        <v>68.4</v>
      </c>
      <c r="J14">
        <v>88.8</v>
      </c>
      <c r="L14">
        <v>65.7</v>
      </c>
    </row>
    <row r="15" spans="1:12">
      <c r="A15" t="str">
        <f>"880714"</f>
        <v>880714</v>
      </c>
      <c r="B15" t="s">
        <v>26</v>
      </c>
      <c r="C15">
        <v>-0.38</v>
      </c>
      <c r="D15">
        <v>3956.34</v>
      </c>
      <c r="E15">
        <v>29630932992</v>
      </c>
      <c r="F15">
        <v>87.3</v>
      </c>
      <c r="H15">
        <v>33.8</v>
      </c>
      <c r="J15">
        <v>62.2</v>
      </c>
      <c r="L15">
        <v>84.1</v>
      </c>
    </row>
    <row r="16" spans="1:12">
      <c r="A16" t="str">
        <f>"880546"</f>
        <v>880546</v>
      </c>
      <c r="B16" t="s">
        <v>27</v>
      </c>
      <c r="C16">
        <v>0.37</v>
      </c>
      <c r="D16">
        <v>3911.52</v>
      </c>
      <c r="E16">
        <v>171189714944</v>
      </c>
      <c r="F16">
        <v>79.9</v>
      </c>
      <c r="H16">
        <v>94.8</v>
      </c>
      <c r="I16">
        <v>94.8</v>
      </c>
      <c r="J16">
        <v>13.5</v>
      </c>
      <c r="L16">
        <v>33.1</v>
      </c>
    </row>
    <row r="17" spans="1:12">
      <c r="A17" t="str">
        <f>"880906"</f>
        <v>880906</v>
      </c>
      <c r="B17" t="s">
        <v>28</v>
      </c>
      <c r="C17">
        <v>0.34</v>
      </c>
      <c r="D17">
        <v>3755.65</v>
      </c>
      <c r="E17">
        <v>101094989824</v>
      </c>
      <c r="F17">
        <v>41.3</v>
      </c>
      <c r="H17">
        <v>38.5</v>
      </c>
      <c r="J17">
        <v>49.4</v>
      </c>
      <c r="L17">
        <v>42.8</v>
      </c>
    </row>
    <row r="18" spans="1:12">
      <c r="A18" t="str">
        <f>"880558"</f>
        <v>880558</v>
      </c>
      <c r="B18" t="s">
        <v>29</v>
      </c>
      <c r="C18">
        <v>-0.12</v>
      </c>
      <c r="D18">
        <v>3740.17</v>
      </c>
      <c r="E18">
        <v>97941069824</v>
      </c>
      <c r="F18">
        <v>60.7</v>
      </c>
      <c r="H18">
        <v>54.4</v>
      </c>
      <c r="J18">
        <v>78</v>
      </c>
      <c r="L18">
        <v>42.6</v>
      </c>
    </row>
    <row r="19" spans="1:12">
      <c r="A19" t="str">
        <f>"880716"</f>
        <v>880716</v>
      </c>
      <c r="B19" t="s">
        <v>30</v>
      </c>
      <c r="C19">
        <v>0.43</v>
      </c>
      <c r="D19">
        <v>3685.6</v>
      </c>
      <c r="E19">
        <v>54971310080</v>
      </c>
      <c r="F19">
        <v>80.1</v>
      </c>
      <c r="H19">
        <v>88.7</v>
      </c>
      <c r="J19">
        <v>50.8</v>
      </c>
      <c r="L19">
        <v>67.8</v>
      </c>
    </row>
    <row r="20" spans="1:13">
      <c r="A20" t="str">
        <f>"880545"</f>
        <v>880545</v>
      </c>
      <c r="B20" t="s">
        <v>31</v>
      </c>
      <c r="C20">
        <v>1.22</v>
      </c>
      <c r="D20">
        <v>3648.67</v>
      </c>
      <c r="E20">
        <v>204806242304</v>
      </c>
      <c r="F20">
        <v>29.2</v>
      </c>
      <c r="H20">
        <v>52.5</v>
      </c>
      <c r="J20">
        <v>38.2</v>
      </c>
      <c r="L20">
        <v>93</v>
      </c>
      <c r="M20">
        <v>93</v>
      </c>
    </row>
    <row r="21" spans="1:12">
      <c r="A21" t="str">
        <f>"880964"</f>
        <v>880964</v>
      </c>
      <c r="B21" t="s">
        <v>32</v>
      </c>
      <c r="C21">
        <v>1.71</v>
      </c>
      <c r="D21">
        <v>3591.13</v>
      </c>
      <c r="E21">
        <v>98420695040</v>
      </c>
      <c r="F21">
        <v>90.1</v>
      </c>
      <c r="G21">
        <v>90.1</v>
      </c>
      <c r="H21">
        <v>93.6</v>
      </c>
      <c r="I21">
        <v>93.6</v>
      </c>
      <c r="J21">
        <v>95.3</v>
      </c>
      <c r="K21">
        <v>95.3</v>
      </c>
      <c r="L21">
        <v>89.2</v>
      </c>
    </row>
    <row r="22" spans="1:12">
      <c r="A22" t="str">
        <f>"880563"</f>
        <v>880563</v>
      </c>
      <c r="B22" t="s">
        <v>33</v>
      </c>
      <c r="C22">
        <v>-0.24</v>
      </c>
      <c r="D22">
        <v>3555.27</v>
      </c>
      <c r="E22">
        <v>13778451456</v>
      </c>
      <c r="F22">
        <v>27.1</v>
      </c>
      <c r="H22">
        <v>32.7</v>
      </c>
      <c r="J22">
        <v>32.8</v>
      </c>
      <c r="L22">
        <v>42.1</v>
      </c>
    </row>
    <row r="23" spans="1:12">
      <c r="A23" t="str">
        <f>"880520"</f>
        <v>880520</v>
      </c>
      <c r="B23" t="s">
        <v>34</v>
      </c>
      <c r="C23">
        <v>1.66</v>
      </c>
      <c r="D23">
        <v>3542.37</v>
      </c>
      <c r="E23">
        <v>157415325696</v>
      </c>
      <c r="F23">
        <v>80.8</v>
      </c>
      <c r="H23">
        <v>75.9</v>
      </c>
      <c r="J23">
        <v>82.5</v>
      </c>
      <c r="L23">
        <v>83.4</v>
      </c>
    </row>
    <row r="24" spans="1:12">
      <c r="A24" t="str">
        <f>"880592"</f>
        <v>880592</v>
      </c>
      <c r="B24" t="s">
        <v>35</v>
      </c>
      <c r="C24">
        <v>-0.07</v>
      </c>
      <c r="D24">
        <v>3534.98</v>
      </c>
      <c r="E24">
        <v>68708765696</v>
      </c>
      <c r="F24">
        <v>16.3</v>
      </c>
      <c r="H24">
        <v>28</v>
      </c>
      <c r="J24">
        <v>18.1</v>
      </c>
      <c r="L24">
        <v>49.1</v>
      </c>
    </row>
    <row r="25" spans="1:12">
      <c r="A25" t="str">
        <f>"880582"</f>
        <v>880582</v>
      </c>
      <c r="B25" t="s">
        <v>36</v>
      </c>
      <c r="C25">
        <v>1</v>
      </c>
      <c r="D25">
        <v>3467.64</v>
      </c>
      <c r="E25">
        <v>241292394496</v>
      </c>
      <c r="F25">
        <v>66.8</v>
      </c>
      <c r="H25">
        <v>73.8</v>
      </c>
      <c r="J25">
        <v>83.9</v>
      </c>
      <c r="L25">
        <v>72</v>
      </c>
    </row>
    <row r="26" spans="1:12">
      <c r="A26" t="str">
        <f>"880506"</f>
        <v>880506</v>
      </c>
      <c r="B26" t="s">
        <v>37</v>
      </c>
      <c r="C26">
        <v>1.44</v>
      </c>
      <c r="D26">
        <v>3459.56</v>
      </c>
      <c r="E26">
        <v>376188207104</v>
      </c>
      <c r="F26">
        <v>68.4</v>
      </c>
      <c r="H26">
        <v>81.5</v>
      </c>
      <c r="J26">
        <v>61.3</v>
      </c>
      <c r="L26">
        <v>86.4</v>
      </c>
    </row>
    <row r="27" spans="1:12">
      <c r="A27" t="str">
        <f>"880534"</f>
        <v>880534</v>
      </c>
      <c r="B27" t="s">
        <v>38</v>
      </c>
      <c r="C27">
        <v>0.28</v>
      </c>
      <c r="D27">
        <v>3371.69</v>
      </c>
      <c r="E27">
        <v>303956983808</v>
      </c>
      <c r="F27">
        <v>80.6</v>
      </c>
      <c r="H27">
        <v>46</v>
      </c>
      <c r="J27">
        <v>62</v>
      </c>
      <c r="L27">
        <v>69.9</v>
      </c>
    </row>
    <row r="28" spans="1:12">
      <c r="A28" t="str">
        <f>"880557"</f>
        <v>880557</v>
      </c>
      <c r="B28" t="s">
        <v>39</v>
      </c>
      <c r="C28">
        <v>-0.65</v>
      </c>
      <c r="D28">
        <v>3218.74</v>
      </c>
      <c r="E28">
        <v>11895455744</v>
      </c>
      <c r="F28">
        <v>5.3</v>
      </c>
      <c r="H28">
        <v>3.7</v>
      </c>
      <c r="J28">
        <v>9</v>
      </c>
      <c r="L28">
        <v>23.7</v>
      </c>
    </row>
    <row r="29" spans="1:12">
      <c r="A29" t="str">
        <f>"880594"</f>
        <v>880594</v>
      </c>
      <c r="B29" t="s">
        <v>40</v>
      </c>
      <c r="C29">
        <v>0.89</v>
      </c>
      <c r="D29">
        <v>3174.15</v>
      </c>
      <c r="E29">
        <v>361411149824</v>
      </c>
      <c r="F29">
        <v>74.2</v>
      </c>
      <c r="H29">
        <v>70</v>
      </c>
      <c r="J29">
        <v>80.8</v>
      </c>
      <c r="L29">
        <v>65</v>
      </c>
    </row>
    <row r="30" spans="1:12">
      <c r="A30" t="str">
        <f>"880589"</f>
        <v>880589</v>
      </c>
      <c r="B30" t="s">
        <v>41</v>
      </c>
      <c r="C30">
        <v>0.88</v>
      </c>
      <c r="D30">
        <v>3171.13</v>
      </c>
      <c r="E30">
        <v>140575883264</v>
      </c>
      <c r="F30">
        <v>47.8</v>
      </c>
      <c r="H30">
        <v>53.9</v>
      </c>
      <c r="J30">
        <v>36.1</v>
      </c>
      <c r="L30">
        <v>62.4</v>
      </c>
    </row>
    <row r="31" spans="1:12">
      <c r="A31" t="str">
        <f>"880944"</f>
        <v>880944</v>
      </c>
      <c r="B31" t="s">
        <v>42</v>
      </c>
      <c r="C31">
        <v>0.8</v>
      </c>
      <c r="D31">
        <v>3151.54</v>
      </c>
      <c r="E31">
        <v>228847616000</v>
      </c>
      <c r="F31">
        <v>51.8</v>
      </c>
      <c r="H31">
        <v>69.6</v>
      </c>
      <c r="J31">
        <v>40.3</v>
      </c>
      <c r="L31">
        <v>58.7</v>
      </c>
    </row>
    <row r="32" spans="1:12">
      <c r="A32" t="str">
        <f>"880969"</f>
        <v>880969</v>
      </c>
      <c r="B32" t="s">
        <v>43</v>
      </c>
      <c r="C32">
        <v>0.84</v>
      </c>
      <c r="D32">
        <v>3034.66</v>
      </c>
      <c r="E32">
        <v>74248511488</v>
      </c>
      <c r="F32">
        <v>47.6</v>
      </c>
      <c r="H32">
        <v>46.2</v>
      </c>
      <c r="J32">
        <v>54</v>
      </c>
      <c r="L32">
        <v>80.8</v>
      </c>
    </row>
    <row r="33" spans="1:12">
      <c r="A33" t="str">
        <f>"880575"</f>
        <v>880575</v>
      </c>
      <c r="B33" t="s">
        <v>44</v>
      </c>
      <c r="C33">
        <v>0.64</v>
      </c>
      <c r="D33">
        <v>3021.92</v>
      </c>
      <c r="E33">
        <v>9181873152</v>
      </c>
      <c r="F33">
        <v>83.1</v>
      </c>
      <c r="H33">
        <v>84.3</v>
      </c>
      <c r="J33">
        <v>90.6</v>
      </c>
      <c r="K33">
        <v>90.6</v>
      </c>
      <c r="L33">
        <v>52.9</v>
      </c>
    </row>
    <row r="34" spans="1:12">
      <c r="A34" t="str">
        <f>"880593"</f>
        <v>880593</v>
      </c>
      <c r="B34" t="s">
        <v>45</v>
      </c>
      <c r="C34">
        <v>-1.07</v>
      </c>
      <c r="D34">
        <v>2989.5</v>
      </c>
      <c r="E34">
        <v>34678833152</v>
      </c>
      <c r="F34">
        <v>20.3</v>
      </c>
      <c r="H34">
        <v>15.6</v>
      </c>
      <c r="J34">
        <v>27.2</v>
      </c>
      <c r="L34">
        <v>15.8</v>
      </c>
    </row>
    <row r="35" spans="1:12">
      <c r="A35" t="str">
        <f>"880598"</f>
        <v>880598</v>
      </c>
      <c r="B35" t="s">
        <v>46</v>
      </c>
      <c r="C35">
        <v>-0.55</v>
      </c>
      <c r="D35">
        <v>2977.2</v>
      </c>
      <c r="E35">
        <v>7903842816</v>
      </c>
      <c r="F35">
        <v>54.2</v>
      </c>
      <c r="H35">
        <v>63</v>
      </c>
      <c r="J35">
        <v>40</v>
      </c>
      <c r="L35">
        <v>38.6</v>
      </c>
    </row>
    <row r="36" spans="1:12">
      <c r="A36" t="str">
        <f>"880715"</f>
        <v>880715</v>
      </c>
      <c r="B36" t="s">
        <v>47</v>
      </c>
      <c r="C36">
        <v>-0.56</v>
      </c>
      <c r="D36">
        <v>2952.81</v>
      </c>
      <c r="E36">
        <v>26137298944</v>
      </c>
      <c r="F36">
        <v>91.5</v>
      </c>
      <c r="G36">
        <v>91.5</v>
      </c>
      <c r="H36">
        <v>42.7</v>
      </c>
      <c r="J36">
        <v>85.3</v>
      </c>
      <c r="L36">
        <v>76.4</v>
      </c>
    </row>
    <row r="37" spans="1:12">
      <c r="A37" t="str">
        <f>"880913"</f>
        <v>880913</v>
      </c>
      <c r="B37" t="s">
        <v>48</v>
      </c>
      <c r="C37">
        <v>-0.64</v>
      </c>
      <c r="D37">
        <v>2936.56</v>
      </c>
      <c r="E37">
        <v>29081026560</v>
      </c>
      <c r="F37">
        <v>7.7</v>
      </c>
      <c r="H37">
        <v>11.4</v>
      </c>
      <c r="J37">
        <v>14.9</v>
      </c>
      <c r="L37">
        <v>20.9</v>
      </c>
    </row>
    <row r="38" spans="1:12">
      <c r="A38" t="str">
        <f>"880560"</f>
        <v>880560</v>
      </c>
      <c r="B38" t="s">
        <v>49</v>
      </c>
      <c r="C38">
        <v>0.88</v>
      </c>
      <c r="D38">
        <v>2933.47</v>
      </c>
      <c r="E38">
        <v>185963970560</v>
      </c>
      <c r="F38">
        <v>71.2</v>
      </c>
      <c r="H38">
        <v>79.9</v>
      </c>
      <c r="J38">
        <v>78.3</v>
      </c>
      <c r="L38">
        <v>53.8</v>
      </c>
    </row>
    <row r="39" spans="1:12">
      <c r="A39" t="str">
        <f>"880930"</f>
        <v>880930</v>
      </c>
      <c r="B39" t="s">
        <v>50</v>
      </c>
      <c r="C39">
        <v>1.15</v>
      </c>
      <c r="D39">
        <v>2932.71</v>
      </c>
      <c r="E39">
        <v>252761735168</v>
      </c>
      <c r="F39">
        <v>60.5</v>
      </c>
      <c r="H39">
        <v>73.1</v>
      </c>
      <c r="J39">
        <v>63.4</v>
      </c>
      <c r="L39">
        <v>63.4</v>
      </c>
    </row>
    <row r="40" spans="1:12">
      <c r="A40" t="str">
        <f>"880952"</f>
        <v>880952</v>
      </c>
      <c r="B40" t="s">
        <v>51</v>
      </c>
      <c r="C40">
        <v>1.16</v>
      </c>
      <c r="D40">
        <v>2913.74</v>
      </c>
      <c r="E40">
        <v>628613906432</v>
      </c>
      <c r="F40">
        <v>82.9</v>
      </c>
      <c r="H40">
        <v>85.2</v>
      </c>
      <c r="J40">
        <v>66.4</v>
      </c>
      <c r="L40">
        <v>65.2</v>
      </c>
    </row>
    <row r="41" spans="1:12">
      <c r="A41" t="str">
        <f>"880591"</f>
        <v>880591</v>
      </c>
      <c r="B41" t="s">
        <v>52</v>
      </c>
      <c r="C41">
        <v>0.16</v>
      </c>
      <c r="D41">
        <v>2899.46</v>
      </c>
      <c r="E41">
        <v>38725947392</v>
      </c>
      <c r="F41">
        <v>59.1</v>
      </c>
      <c r="H41">
        <v>36.6</v>
      </c>
      <c r="J41">
        <v>42.6</v>
      </c>
      <c r="L41">
        <v>40.7</v>
      </c>
    </row>
    <row r="42" spans="1:12">
      <c r="A42" t="str">
        <f>"880515"</f>
        <v>880515</v>
      </c>
      <c r="B42" t="s">
        <v>53</v>
      </c>
      <c r="C42">
        <v>-0.26</v>
      </c>
      <c r="D42">
        <v>2854.08</v>
      </c>
      <c r="E42">
        <v>172984254464</v>
      </c>
      <c r="F42">
        <v>42.2</v>
      </c>
      <c r="H42">
        <v>16.1</v>
      </c>
      <c r="J42">
        <v>22.1</v>
      </c>
      <c r="L42">
        <v>24</v>
      </c>
    </row>
    <row r="43" spans="1:12">
      <c r="A43" t="str">
        <f>"880916"</f>
        <v>880916</v>
      </c>
      <c r="B43" t="s">
        <v>54</v>
      </c>
      <c r="C43">
        <v>0.6</v>
      </c>
      <c r="D43">
        <v>2808.29</v>
      </c>
      <c r="E43">
        <v>131137847296</v>
      </c>
      <c r="F43">
        <v>25.2</v>
      </c>
      <c r="H43">
        <v>43.2</v>
      </c>
      <c r="J43">
        <v>12.3</v>
      </c>
      <c r="L43">
        <v>68.5</v>
      </c>
    </row>
    <row r="44" spans="1:12">
      <c r="A44" t="str">
        <f>"880571"</f>
        <v>880571</v>
      </c>
      <c r="B44" t="s">
        <v>55</v>
      </c>
      <c r="C44">
        <v>0.27</v>
      </c>
      <c r="D44">
        <v>2755.29</v>
      </c>
      <c r="E44">
        <v>37685518336</v>
      </c>
      <c r="F44">
        <v>56.3</v>
      </c>
      <c r="H44">
        <v>76.8</v>
      </c>
      <c r="J44">
        <v>48.9</v>
      </c>
      <c r="L44">
        <v>46.6</v>
      </c>
    </row>
    <row r="45" spans="1:12">
      <c r="A45" t="str">
        <f>"880961"</f>
        <v>880961</v>
      </c>
      <c r="B45" t="s">
        <v>56</v>
      </c>
      <c r="C45">
        <v>1.23</v>
      </c>
      <c r="D45">
        <v>2673.6</v>
      </c>
      <c r="E45">
        <v>227605626880</v>
      </c>
      <c r="F45">
        <v>58.6</v>
      </c>
      <c r="H45">
        <v>62.1</v>
      </c>
      <c r="J45">
        <v>56.8</v>
      </c>
      <c r="L45">
        <v>66.8</v>
      </c>
    </row>
    <row r="46" spans="1:12">
      <c r="A46" t="str">
        <f>"880901"</f>
        <v>880901</v>
      </c>
      <c r="B46" t="s">
        <v>57</v>
      </c>
      <c r="C46">
        <v>0.65</v>
      </c>
      <c r="D46">
        <v>2652.14</v>
      </c>
      <c r="E46">
        <v>146393726976</v>
      </c>
      <c r="F46">
        <v>35.9</v>
      </c>
      <c r="H46">
        <v>53.2</v>
      </c>
      <c r="J46">
        <v>23.3</v>
      </c>
      <c r="L46">
        <v>78.5</v>
      </c>
    </row>
    <row r="47" spans="1:12">
      <c r="A47" t="str">
        <f>"880550"</f>
        <v>880550</v>
      </c>
      <c r="B47" t="s">
        <v>58</v>
      </c>
      <c r="C47">
        <v>1.06</v>
      </c>
      <c r="D47">
        <v>2594.33</v>
      </c>
      <c r="E47">
        <v>126376640512</v>
      </c>
      <c r="F47">
        <v>82.2</v>
      </c>
      <c r="H47">
        <v>86.2</v>
      </c>
      <c r="J47">
        <v>79.9</v>
      </c>
      <c r="L47">
        <v>88.5</v>
      </c>
    </row>
    <row r="48" spans="1:12">
      <c r="A48" t="str">
        <f>"880965"</f>
        <v>880965</v>
      </c>
      <c r="B48" t="s">
        <v>59</v>
      </c>
      <c r="C48">
        <v>0.1</v>
      </c>
      <c r="D48">
        <v>2577.53</v>
      </c>
      <c r="E48">
        <v>79336833024</v>
      </c>
      <c r="F48">
        <v>55.3</v>
      </c>
      <c r="H48">
        <v>64.7</v>
      </c>
      <c r="J48">
        <v>53.6</v>
      </c>
      <c r="L48">
        <v>85.5</v>
      </c>
    </row>
    <row r="49" spans="1:12">
      <c r="A49" t="str">
        <f>"880909"</f>
        <v>880909</v>
      </c>
      <c r="B49" t="s">
        <v>60</v>
      </c>
      <c r="C49">
        <v>0.83</v>
      </c>
      <c r="D49">
        <v>2571.2</v>
      </c>
      <c r="E49">
        <v>107405844480</v>
      </c>
      <c r="F49">
        <v>62.8</v>
      </c>
      <c r="H49">
        <v>58.4</v>
      </c>
      <c r="J49">
        <v>65.5</v>
      </c>
      <c r="L49">
        <v>53.1</v>
      </c>
    </row>
    <row r="50" spans="1:12">
      <c r="A50" t="str">
        <f>"880968"</f>
        <v>880968</v>
      </c>
      <c r="B50" t="s">
        <v>61</v>
      </c>
      <c r="C50">
        <v>0.49</v>
      </c>
      <c r="D50">
        <v>2569.34</v>
      </c>
      <c r="E50">
        <v>7773249536</v>
      </c>
      <c r="F50">
        <v>37.8</v>
      </c>
      <c r="H50">
        <v>37.3</v>
      </c>
      <c r="J50">
        <v>29.1</v>
      </c>
      <c r="L50">
        <v>37.9</v>
      </c>
    </row>
    <row r="51" spans="1:12">
      <c r="A51" t="str">
        <f>"880798"</f>
        <v>880798</v>
      </c>
      <c r="B51" t="s">
        <v>62</v>
      </c>
      <c r="C51">
        <v>1.45</v>
      </c>
      <c r="D51">
        <v>2556.92</v>
      </c>
      <c r="E51">
        <v>30108928000</v>
      </c>
      <c r="F51">
        <v>71.7</v>
      </c>
      <c r="H51">
        <v>60.9</v>
      </c>
      <c r="J51">
        <v>83.2</v>
      </c>
      <c r="L51">
        <v>89.5</v>
      </c>
    </row>
    <row r="52" spans="1:12">
      <c r="A52" t="str">
        <f>"880533"</f>
        <v>880533</v>
      </c>
      <c r="B52" t="s">
        <v>63</v>
      </c>
      <c r="C52">
        <v>0.66</v>
      </c>
      <c r="D52">
        <v>2531.35</v>
      </c>
      <c r="E52">
        <v>253251338240</v>
      </c>
      <c r="F52">
        <v>32.9</v>
      </c>
      <c r="H52">
        <v>48.1</v>
      </c>
      <c r="J52">
        <v>30.3</v>
      </c>
      <c r="L52">
        <v>57.3</v>
      </c>
    </row>
    <row r="53" spans="1:12">
      <c r="A53" t="str">
        <f>"880957"</f>
        <v>880957</v>
      </c>
      <c r="B53" t="s">
        <v>64</v>
      </c>
      <c r="C53">
        <v>0.72</v>
      </c>
      <c r="D53">
        <v>2497.84</v>
      </c>
      <c r="E53">
        <v>209941774336</v>
      </c>
      <c r="F53">
        <v>53.9</v>
      </c>
      <c r="H53">
        <v>63.3</v>
      </c>
      <c r="J53">
        <v>58.5</v>
      </c>
      <c r="L53">
        <v>71</v>
      </c>
    </row>
    <row r="54" spans="1:12">
      <c r="A54" t="str">
        <f>"880513"</f>
        <v>880513</v>
      </c>
      <c r="B54" t="s">
        <v>65</v>
      </c>
      <c r="C54">
        <v>-0.35</v>
      </c>
      <c r="D54">
        <v>2476.19</v>
      </c>
      <c r="E54">
        <v>87133143040</v>
      </c>
      <c r="F54">
        <v>83.6</v>
      </c>
      <c r="H54">
        <v>51.8</v>
      </c>
      <c r="J54">
        <v>32.6</v>
      </c>
      <c r="L54">
        <v>14.4</v>
      </c>
    </row>
    <row r="55" spans="1:12">
      <c r="A55" t="str">
        <f>"880966"</f>
        <v>880966</v>
      </c>
      <c r="B55" t="s">
        <v>66</v>
      </c>
      <c r="C55">
        <v>1.06</v>
      </c>
      <c r="D55">
        <v>2469.75</v>
      </c>
      <c r="E55">
        <v>272710778880</v>
      </c>
      <c r="F55">
        <v>56.7</v>
      </c>
      <c r="H55">
        <v>69.3</v>
      </c>
      <c r="J55">
        <v>66.6</v>
      </c>
      <c r="L55">
        <v>69.4</v>
      </c>
    </row>
    <row r="56" spans="1:12">
      <c r="A56" t="str">
        <f>"880703"</f>
        <v>880703</v>
      </c>
      <c r="B56" t="s">
        <v>67</v>
      </c>
      <c r="C56">
        <v>0.98</v>
      </c>
      <c r="D56">
        <v>2442.71</v>
      </c>
      <c r="E56">
        <v>221998841856</v>
      </c>
      <c r="F56">
        <v>49.7</v>
      </c>
      <c r="H56">
        <v>67.2</v>
      </c>
      <c r="J56">
        <v>51.2</v>
      </c>
      <c r="L56">
        <v>75</v>
      </c>
    </row>
    <row r="57" spans="1:12">
      <c r="A57" t="str">
        <f>"880974"</f>
        <v>880974</v>
      </c>
      <c r="B57" t="s">
        <v>68</v>
      </c>
      <c r="C57">
        <v>0.19</v>
      </c>
      <c r="D57">
        <v>2424.94</v>
      </c>
      <c r="E57">
        <v>8047851008</v>
      </c>
      <c r="F57">
        <v>52.8</v>
      </c>
      <c r="H57">
        <v>52.3</v>
      </c>
      <c r="J57">
        <v>86.4</v>
      </c>
      <c r="L57">
        <v>79.4</v>
      </c>
    </row>
    <row r="58" spans="1:12">
      <c r="A58" t="str">
        <f>"880584"</f>
        <v>880584</v>
      </c>
      <c r="B58" t="s">
        <v>69</v>
      </c>
      <c r="C58">
        <v>0.21</v>
      </c>
      <c r="D58">
        <v>2423.47</v>
      </c>
      <c r="E58">
        <v>59760017408</v>
      </c>
      <c r="F58">
        <v>73.8</v>
      </c>
      <c r="H58">
        <v>58.8</v>
      </c>
      <c r="J58">
        <v>84.6</v>
      </c>
      <c r="L58">
        <v>77.6</v>
      </c>
    </row>
    <row r="59" spans="1:12">
      <c r="A59" t="str">
        <f>"880945"</f>
        <v>880945</v>
      </c>
      <c r="B59" t="s">
        <v>70</v>
      </c>
      <c r="C59">
        <v>0.76</v>
      </c>
      <c r="D59">
        <v>2393.58</v>
      </c>
      <c r="E59">
        <v>99166478336</v>
      </c>
      <c r="F59">
        <v>83.8</v>
      </c>
      <c r="H59">
        <v>84.1</v>
      </c>
      <c r="J59">
        <v>69.6</v>
      </c>
      <c r="L59">
        <v>70.3</v>
      </c>
    </row>
    <row r="60" spans="1:12">
      <c r="A60" t="str">
        <f>"880507"</f>
        <v>880507</v>
      </c>
      <c r="B60" t="s">
        <v>71</v>
      </c>
      <c r="C60">
        <v>0.68</v>
      </c>
      <c r="D60">
        <v>2384.27</v>
      </c>
      <c r="E60">
        <v>307242106880</v>
      </c>
      <c r="F60">
        <v>70.7</v>
      </c>
      <c r="H60">
        <v>89.9</v>
      </c>
      <c r="J60">
        <v>36.5</v>
      </c>
      <c r="L60">
        <v>43.5</v>
      </c>
    </row>
    <row r="61" spans="1:12">
      <c r="A61" t="str">
        <f>"880666"</f>
        <v>880666</v>
      </c>
      <c r="B61" t="s">
        <v>72</v>
      </c>
      <c r="C61">
        <v>1.5</v>
      </c>
      <c r="D61">
        <v>2384.17</v>
      </c>
      <c r="E61">
        <v>78184972288</v>
      </c>
      <c r="F61">
        <v>92</v>
      </c>
      <c r="G61">
        <v>92</v>
      </c>
      <c r="H61">
        <v>95.7</v>
      </c>
      <c r="I61">
        <v>95.7</v>
      </c>
      <c r="J61">
        <v>63.8</v>
      </c>
      <c r="L61">
        <v>60.1</v>
      </c>
    </row>
    <row r="62" spans="1:12">
      <c r="A62" t="str">
        <f>"880719"</f>
        <v>880719</v>
      </c>
      <c r="B62" t="s">
        <v>73</v>
      </c>
      <c r="C62">
        <v>-0.97</v>
      </c>
      <c r="D62">
        <v>2380.62</v>
      </c>
      <c r="E62">
        <v>9978089472</v>
      </c>
      <c r="F62">
        <v>38.7</v>
      </c>
      <c r="H62">
        <v>18.6</v>
      </c>
      <c r="J62">
        <v>45.6</v>
      </c>
      <c r="L62">
        <v>27.7</v>
      </c>
    </row>
    <row r="63" spans="1:13">
      <c r="A63" t="str">
        <f>"880701"</f>
        <v>880701</v>
      </c>
      <c r="B63" t="s">
        <v>74</v>
      </c>
      <c r="C63">
        <v>0.1</v>
      </c>
      <c r="D63">
        <v>2364.25</v>
      </c>
      <c r="E63">
        <v>58776084480</v>
      </c>
      <c r="F63">
        <v>69.1</v>
      </c>
      <c r="H63">
        <v>89.2</v>
      </c>
      <c r="J63">
        <v>20.5</v>
      </c>
      <c r="L63">
        <v>97.6</v>
      </c>
      <c r="M63">
        <v>97.6</v>
      </c>
    </row>
    <row r="64" spans="1:13">
      <c r="A64" t="str">
        <f>"880685"</f>
        <v>880685</v>
      </c>
      <c r="B64" t="s">
        <v>75</v>
      </c>
      <c r="C64">
        <v>2.78</v>
      </c>
      <c r="D64">
        <v>2359.04</v>
      </c>
      <c r="E64">
        <v>206181335040</v>
      </c>
      <c r="F64">
        <v>63</v>
      </c>
      <c r="H64">
        <v>81</v>
      </c>
      <c r="J64">
        <v>79.7</v>
      </c>
      <c r="L64">
        <v>97.4</v>
      </c>
      <c r="M64">
        <v>97.4</v>
      </c>
    </row>
    <row r="65" spans="1:12">
      <c r="A65" t="str">
        <f>"880501"</f>
        <v>880501</v>
      </c>
      <c r="B65" t="s">
        <v>76</v>
      </c>
      <c r="C65">
        <v>-0.33</v>
      </c>
      <c r="D65">
        <v>2344.38</v>
      </c>
      <c r="E65">
        <v>195433234432</v>
      </c>
      <c r="F65">
        <v>31.3</v>
      </c>
      <c r="H65">
        <v>19.6</v>
      </c>
      <c r="J65">
        <v>36.8</v>
      </c>
      <c r="L65">
        <v>31.7</v>
      </c>
    </row>
    <row r="66" spans="1:13">
      <c r="A66" t="str">
        <f>"880523"</f>
        <v>880523</v>
      </c>
      <c r="B66" t="s">
        <v>77</v>
      </c>
      <c r="C66">
        <v>2.26</v>
      </c>
      <c r="D66">
        <v>2339.82</v>
      </c>
      <c r="E66">
        <v>56749568000</v>
      </c>
      <c r="F66">
        <v>89</v>
      </c>
      <c r="H66">
        <v>96</v>
      </c>
      <c r="I66">
        <v>96</v>
      </c>
      <c r="J66">
        <v>88.5</v>
      </c>
      <c r="L66">
        <v>94.8</v>
      </c>
      <c r="M66">
        <v>94.8</v>
      </c>
    </row>
    <row r="67" spans="1:12">
      <c r="A67" t="str">
        <f>"880548"</f>
        <v>880548</v>
      </c>
      <c r="B67" t="s">
        <v>78</v>
      </c>
      <c r="C67">
        <v>0.63</v>
      </c>
      <c r="D67">
        <v>2327.69</v>
      </c>
      <c r="E67">
        <v>317809852416</v>
      </c>
      <c r="F67">
        <v>89.2</v>
      </c>
      <c r="H67">
        <v>98.1</v>
      </c>
      <c r="I67">
        <v>98.1</v>
      </c>
      <c r="J67">
        <v>37.5</v>
      </c>
      <c r="L67">
        <v>37.2</v>
      </c>
    </row>
    <row r="68" spans="1:13">
      <c r="A68" t="str">
        <f>"880670"</f>
        <v>880670</v>
      </c>
      <c r="B68" t="s">
        <v>79</v>
      </c>
      <c r="C68">
        <v>2.11</v>
      </c>
      <c r="D68">
        <v>2327.59</v>
      </c>
      <c r="E68">
        <v>184275271680</v>
      </c>
      <c r="F68">
        <v>93.6</v>
      </c>
      <c r="G68">
        <v>93.6</v>
      </c>
      <c r="H68">
        <v>96.9</v>
      </c>
      <c r="I68">
        <v>96.9</v>
      </c>
      <c r="J68">
        <v>93.4</v>
      </c>
      <c r="K68">
        <v>93.4</v>
      </c>
      <c r="L68">
        <v>94.1</v>
      </c>
      <c r="M68">
        <v>94.1</v>
      </c>
    </row>
    <row r="69" spans="1:12">
      <c r="A69" t="str">
        <f>"880566"</f>
        <v>880566</v>
      </c>
      <c r="B69" t="s">
        <v>80</v>
      </c>
      <c r="C69">
        <v>1.13</v>
      </c>
      <c r="D69">
        <v>2326.64</v>
      </c>
      <c r="E69">
        <v>117388197888</v>
      </c>
      <c r="F69">
        <v>57</v>
      </c>
      <c r="H69">
        <v>62.3</v>
      </c>
      <c r="J69">
        <v>51.9</v>
      </c>
      <c r="L69">
        <v>57.8</v>
      </c>
    </row>
    <row r="70" spans="1:12">
      <c r="A70" t="str">
        <f>"880672"</f>
        <v>880672</v>
      </c>
      <c r="B70" t="s">
        <v>81</v>
      </c>
      <c r="C70">
        <v>1.56</v>
      </c>
      <c r="D70">
        <v>2322.75</v>
      </c>
      <c r="E70">
        <v>153260556288</v>
      </c>
      <c r="F70">
        <v>95.7</v>
      </c>
      <c r="G70">
        <v>95.7</v>
      </c>
      <c r="H70">
        <v>90.4</v>
      </c>
      <c r="I70">
        <v>90.4</v>
      </c>
      <c r="J70">
        <v>71</v>
      </c>
      <c r="L70">
        <v>58.9</v>
      </c>
    </row>
    <row r="71" spans="1:12">
      <c r="A71" t="str">
        <f>"880561"</f>
        <v>880561</v>
      </c>
      <c r="B71" t="s">
        <v>82</v>
      </c>
      <c r="C71">
        <v>0.6</v>
      </c>
      <c r="D71">
        <v>2322.41</v>
      </c>
      <c r="E71">
        <v>58908004352</v>
      </c>
      <c r="F71">
        <v>72.6</v>
      </c>
      <c r="H71">
        <v>81.3</v>
      </c>
      <c r="J71">
        <v>64.8</v>
      </c>
      <c r="L71">
        <v>52.2</v>
      </c>
    </row>
    <row r="72" spans="1:12">
      <c r="A72" t="str">
        <f>"880661"</f>
        <v>880661</v>
      </c>
      <c r="B72" t="s">
        <v>83</v>
      </c>
      <c r="C72">
        <v>1.24</v>
      </c>
      <c r="D72">
        <v>2313.1</v>
      </c>
      <c r="E72">
        <v>93451427840</v>
      </c>
      <c r="F72">
        <v>93.4</v>
      </c>
      <c r="G72">
        <v>93.4</v>
      </c>
      <c r="H72">
        <v>99</v>
      </c>
      <c r="I72">
        <v>99</v>
      </c>
      <c r="J72">
        <v>27.9</v>
      </c>
      <c r="L72">
        <v>74.3</v>
      </c>
    </row>
    <row r="73" spans="1:12">
      <c r="A73" t="str">
        <f>"880919"</f>
        <v>880919</v>
      </c>
      <c r="B73" t="s">
        <v>84</v>
      </c>
      <c r="C73">
        <v>0.08</v>
      </c>
      <c r="D73">
        <v>2308.5</v>
      </c>
      <c r="E73">
        <v>135122198528</v>
      </c>
      <c r="F73">
        <v>53.5</v>
      </c>
      <c r="H73">
        <v>41.3</v>
      </c>
      <c r="J73">
        <v>62.9</v>
      </c>
      <c r="L73">
        <v>43.1</v>
      </c>
    </row>
    <row r="74" spans="1:12">
      <c r="A74" t="str">
        <f>"880645"</f>
        <v>880645</v>
      </c>
      <c r="B74" t="s">
        <v>85</v>
      </c>
      <c r="C74">
        <v>0.21</v>
      </c>
      <c r="D74">
        <v>2299.29</v>
      </c>
      <c r="E74">
        <v>250224001024</v>
      </c>
      <c r="F74">
        <v>52.5</v>
      </c>
      <c r="H74">
        <v>71.4</v>
      </c>
      <c r="J74">
        <v>20.2</v>
      </c>
      <c r="L74">
        <v>78.3</v>
      </c>
    </row>
    <row r="75" spans="1:12">
      <c r="A75" t="str">
        <f>"880549"</f>
        <v>880549</v>
      </c>
      <c r="B75" t="s">
        <v>86</v>
      </c>
      <c r="C75">
        <v>-0.67</v>
      </c>
      <c r="D75">
        <v>2287.4</v>
      </c>
      <c r="E75">
        <v>13060708352</v>
      </c>
      <c r="F75">
        <v>90.8</v>
      </c>
      <c r="G75">
        <v>90.8</v>
      </c>
      <c r="H75">
        <v>93.4</v>
      </c>
      <c r="I75">
        <v>93.4</v>
      </c>
      <c r="J75">
        <v>97.4</v>
      </c>
      <c r="K75">
        <v>97.4</v>
      </c>
      <c r="L75">
        <v>37.7</v>
      </c>
    </row>
    <row r="76" spans="1:12">
      <c r="A76" t="str">
        <f>"880599"</f>
        <v>880599</v>
      </c>
      <c r="B76" t="s">
        <v>87</v>
      </c>
      <c r="C76">
        <v>-1.07</v>
      </c>
      <c r="D76">
        <v>2275.61</v>
      </c>
      <c r="E76">
        <v>17808310272</v>
      </c>
      <c r="F76">
        <v>22.4</v>
      </c>
      <c r="H76">
        <v>7.2</v>
      </c>
      <c r="J76">
        <v>11.4</v>
      </c>
      <c r="L76">
        <v>12.5</v>
      </c>
    </row>
    <row r="77" spans="1:12">
      <c r="A77" t="str">
        <f>"880713"</f>
        <v>880713</v>
      </c>
      <c r="B77" t="s">
        <v>88</v>
      </c>
      <c r="C77">
        <v>0.06</v>
      </c>
      <c r="D77">
        <v>2257.65</v>
      </c>
      <c r="E77">
        <v>11130449920</v>
      </c>
      <c r="F77">
        <v>14.4</v>
      </c>
      <c r="H77">
        <v>28.7</v>
      </c>
      <c r="J77">
        <v>15.8</v>
      </c>
      <c r="L77">
        <v>40</v>
      </c>
    </row>
    <row r="78" spans="1:12">
      <c r="A78" t="str">
        <f>"880748"</f>
        <v>880748</v>
      </c>
      <c r="B78" t="s">
        <v>89</v>
      </c>
      <c r="C78">
        <v>0.11</v>
      </c>
      <c r="D78">
        <v>2244.95</v>
      </c>
      <c r="E78">
        <v>166841483264</v>
      </c>
      <c r="F78">
        <v>53</v>
      </c>
      <c r="H78">
        <v>59.8</v>
      </c>
      <c r="J78">
        <v>35.1</v>
      </c>
      <c r="L78">
        <v>75.9</v>
      </c>
    </row>
    <row r="79" spans="1:12">
      <c r="A79" t="str">
        <f>"880795"</f>
        <v>880795</v>
      </c>
      <c r="B79" t="s">
        <v>90</v>
      </c>
      <c r="C79">
        <v>-0.44</v>
      </c>
      <c r="D79">
        <v>2244.77</v>
      </c>
      <c r="E79">
        <v>84697137152</v>
      </c>
      <c r="F79">
        <v>57.2</v>
      </c>
      <c r="H79">
        <v>37.6</v>
      </c>
      <c r="J79">
        <v>54.3</v>
      </c>
      <c r="L79">
        <v>43.8</v>
      </c>
    </row>
    <row r="80" spans="1:12">
      <c r="A80" t="str">
        <f>"880553"</f>
        <v>880553</v>
      </c>
      <c r="B80" t="s">
        <v>91</v>
      </c>
      <c r="C80">
        <v>0.15</v>
      </c>
      <c r="D80">
        <v>2220.47</v>
      </c>
      <c r="E80">
        <v>20407994368</v>
      </c>
      <c r="F80">
        <v>82.4</v>
      </c>
      <c r="H80">
        <v>57</v>
      </c>
      <c r="J80">
        <v>87.4</v>
      </c>
      <c r="L80">
        <v>41.7</v>
      </c>
    </row>
    <row r="81" spans="1:12">
      <c r="A81" t="str">
        <f>"880717"</f>
        <v>880717</v>
      </c>
      <c r="B81" t="s">
        <v>92</v>
      </c>
      <c r="C81">
        <v>-0.94</v>
      </c>
      <c r="D81">
        <v>2214.26</v>
      </c>
      <c r="E81">
        <v>9018696704</v>
      </c>
      <c r="F81">
        <v>49.2</v>
      </c>
      <c r="H81">
        <v>55.3</v>
      </c>
      <c r="J81">
        <v>57.3</v>
      </c>
      <c r="L81">
        <v>21.2</v>
      </c>
    </row>
    <row r="82" spans="1:12">
      <c r="A82" t="str">
        <f>"880943"</f>
        <v>880943</v>
      </c>
      <c r="B82" t="s">
        <v>93</v>
      </c>
      <c r="C82">
        <v>0.98</v>
      </c>
      <c r="D82">
        <v>2204.77</v>
      </c>
      <c r="E82">
        <v>89803251712</v>
      </c>
      <c r="F82">
        <v>74</v>
      </c>
      <c r="H82">
        <v>80.6</v>
      </c>
      <c r="J82">
        <v>54.7</v>
      </c>
      <c r="L82">
        <v>86.7</v>
      </c>
    </row>
    <row r="83" spans="1:12">
      <c r="A83" t="str">
        <f>"880962"</f>
        <v>880962</v>
      </c>
      <c r="B83" t="s">
        <v>94</v>
      </c>
      <c r="C83">
        <v>0.7</v>
      </c>
      <c r="D83">
        <v>2163.53</v>
      </c>
      <c r="E83">
        <v>211530743808</v>
      </c>
      <c r="F83">
        <v>30.3</v>
      </c>
      <c r="H83">
        <v>59.3</v>
      </c>
      <c r="J83">
        <v>26.1</v>
      </c>
      <c r="L83">
        <v>85.3</v>
      </c>
    </row>
    <row r="84" spans="1:12">
      <c r="A84" t="str">
        <f>"880967"</f>
        <v>880967</v>
      </c>
      <c r="B84" t="s">
        <v>95</v>
      </c>
      <c r="C84">
        <v>0.07</v>
      </c>
      <c r="D84">
        <v>2149.02</v>
      </c>
      <c r="E84">
        <v>43176456192</v>
      </c>
      <c r="F84">
        <v>6.3</v>
      </c>
      <c r="H84">
        <v>26.4</v>
      </c>
      <c r="J84">
        <v>6.7</v>
      </c>
      <c r="L84">
        <v>73.4</v>
      </c>
    </row>
    <row r="85" spans="1:12">
      <c r="A85" t="str">
        <f>"880749"</f>
        <v>880749</v>
      </c>
      <c r="B85" t="s">
        <v>96</v>
      </c>
      <c r="C85">
        <v>-0.07</v>
      </c>
      <c r="D85">
        <v>2142.23</v>
      </c>
      <c r="E85">
        <v>43394162688</v>
      </c>
      <c r="F85">
        <v>87.6</v>
      </c>
      <c r="H85">
        <v>90.1</v>
      </c>
      <c r="I85">
        <v>90.1</v>
      </c>
      <c r="J85">
        <v>43.1</v>
      </c>
      <c r="L85">
        <v>87.8</v>
      </c>
    </row>
    <row r="86" spans="1:12">
      <c r="A86" t="str">
        <f>"880675"</f>
        <v>880675</v>
      </c>
      <c r="B86" t="s">
        <v>97</v>
      </c>
      <c r="C86">
        <v>0.8</v>
      </c>
      <c r="D86">
        <v>2120.77</v>
      </c>
      <c r="E86">
        <v>40609636352</v>
      </c>
      <c r="F86">
        <v>32.2</v>
      </c>
      <c r="H86">
        <v>48.5</v>
      </c>
      <c r="J86">
        <v>32.4</v>
      </c>
      <c r="L86">
        <v>55.7</v>
      </c>
    </row>
    <row r="87" spans="1:12">
      <c r="A87" t="str">
        <f>"880695"</f>
        <v>880695</v>
      </c>
      <c r="B87" t="s">
        <v>98</v>
      </c>
      <c r="C87">
        <v>0.31</v>
      </c>
      <c r="D87">
        <v>2110.32</v>
      </c>
      <c r="E87">
        <v>25063120896</v>
      </c>
      <c r="F87">
        <v>32.7</v>
      </c>
      <c r="H87">
        <v>71.2</v>
      </c>
      <c r="J87">
        <v>43.8</v>
      </c>
      <c r="L87">
        <v>80.1</v>
      </c>
    </row>
    <row r="88" spans="1:12">
      <c r="A88" t="str">
        <f>"880951"</f>
        <v>880951</v>
      </c>
      <c r="B88" t="s">
        <v>99</v>
      </c>
      <c r="C88">
        <v>0.81</v>
      </c>
      <c r="D88">
        <v>2108.29</v>
      </c>
      <c r="E88">
        <v>494451458048</v>
      </c>
      <c r="F88">
        <v>81.3</v>
      </c>
      <c r="H88">
        <v>62.6</v>
      </c>
      <c r="J88">
        <v>65</v>
      </c>
      <c r="L88">
        <v>62.7</v>
      </c>
    </row>
    <row r="89" spans="1:12">
      <c r="A89" t="str">
        <f>"880540"</f>
        <v>880540</v>
      </c>
      <c r="B89" t="s">
        <v>100</v>
      </c>
      <c r="C89">
        <v>-0.09</v>
      </c>
      <c r="D89">
        <v>2105.84</v>
      </c>
      <c r="E89">
        <v>246020603904</v>
      </c>
      <c r="F89">
        <v>76.8</v>
      </c>
      <c r="H89">
        <v>45</v>
      </c>
      <c r="J89">
        <v>43.5</v>
      </c>
      <c r="L89">
        <v>42.4</v>
      </c>
    </row>
    <row r="90" spans="1:12">
      <c r="A90" t="str">
        <f>"880975"</f>
        <v>880975</v>
      </c>
      <c r="B90" t="s">
        <v>101</v>
      </c>
      <c r="C90">
        <v>-0.08</v>
      </c>
      <c r="D90">
        <v>2093.48</v>
      </c>
      <c r="E90">
        <v>12199548928</v>
      </c>
      <c r="F90">
        <v>75.7</v>
      </c>
      <c r="H90">
        <v>30.8</v>
      </c>
      <c r="J90">
        <v>62.7</v>
      </c>
      <c r="L90">
        <v>77.8</v>
      </c>
    </row>
    <row r="91" spans="1:12">
      <c r="A91" t="str">
        <f>"880654"</f>
        <v>880654</v>
      </c>
      <c r="B91" t="s">
        <v>102</v>
      </c>
      <c r="C91">
        <v>0.67</v>
      </c>
      <c r="D91">
        <v>2088.32</v>
      </c>
      <c r="E91">
        <v>136609128448</v>
      </c>
      <c r="F91">
        <v>29.9</v>
      </c>
      <c r="H91">
        <v>59.5</v>
      </c>
      <c r="J91">
        <v>12.8</v>
      </c>
      <c r="L91">
        <v>87.4</v>
      </c>
    </row>
    <row r="92" spans="1:12">
      <c r="A92" t="str">
        <f>"880910"</f>
        <v>880910</v>
      </c>
      <c r="B92" t="s">
        <v>103</v>
      </c>
      <c r="C92">
        <v>-1.52</v>
      </c>
      <c r="D92">
        <v>2074.2</v>
      </c>
      <c r="E92">
        <v>3926438912</v>
      </c>
      <c r="F92">
        <v>57.7</v>
      </c>
      <c r="H92">
        <v>33.1</v>
      </c>
      <c r="J92">
        <v>88.1</v>
      </c>
      <c r="L92">
        <v>45.6</v>
      </c>
    </row>
    <row r="93" spans="1:13">
      <c r="A93" t="str">
        <f>"880799"</f>
        <v>880799</v>
      </c>
      <c r="B93" t="s">
        <v>104</v>
      </c>
      <c r="C93">
        <v>1.9</v>
      </c>
      <c r="D93">
        <v>2066.5</v>
      </c>
      <c r="E93">
        <v>549554061312</v>
      </c>
      <c r="F93">
        <v>61.9</v>
      </c>
      <c r="H93">
        <v>73.5</v>
      </c>
      <c r="J93">
        <v>75.5</v>
      </c>
      <c r="L93">
        <v>90.2</v>
      </c>
      <c r="M93">
        <v>90.2</v>
      </c>
    </row>
    <row r="94" spans="1:12">
      <c r="A94" t="str">
        <f>"880948"</f>
        <v>880948</v>
      </c>
      <c r="B94" t="s">
        <v>105</v>
      </c>
      <c r="C94">
        <v>0.28</v>
      </c>
      <c r="D94">
        <v>2063.21</v>
      </c>
      <c r="E94">
        <v>536205262848</v>
      </c>
      <c r="F94">
        <v>39</v>
      </c>
      <c r="H94">
        <v>51.4</v>
      </c>
      <c r="J94">
        <v>23</v>
      </c>
      <c r="L94">
        <v>50.3</v>
      </c>
    </row>
    <row r="95" spans="1:12">
      <c r="A95" t="str">
        <f>"880643"</f>
        <v>880643</v>
      </c>
      <c r="B95" t="s">
        <v>106</v>
      </c>
      <c r="C95">
        <v>0.28</v>
      </c>
      <c r="D95">
        <v>2052.56</v>
      </c>
      <c r="E95">
        <v>69967175680</v>
      </c>
      <c r="F95">
        <v>44.1</v>
      </c>
      <c r="H95">
        <v>61.6</v>
      </c>
      <c r="J95">
        <v>22.6</v>
      </c>
      <c r="L95">
        <v>62.2</v>
      </c>
    </row>
    <row r="96" spans="1:12">
      <c r="A96" t="str">
        <f>"880659"</f>
        <v>880659</v>
      </c>
      <c r="B96" t="s">
        <v>107</v>
      </c>
      <c r="C96">
        <v>0.84</v>
      </c>
      <c r="D96">
        <v>2049.22</v>
      </c>
      <c r="E96">
        <v>75651809280</v>
      </c>
      <c r="F96">
        <v>66.3</v>
      </c>
      <c r="H96">
        <v>85.5</v>
      </c>
      <c r="J96">
        <v>38.9</v>
      </c>
      <c r="L96">
        <v>56.6</v>
      </c>
    </row>
    <row r="97" spans="1:12">
      <c r="A97" t="str">
        <f>"880537"</f>
        <v>880537</v>
      </c>
      <c r="B97" t="s">
        <v>108</v>
      </c>
      <c r="C97">
        <v>1.29</v>
      </c>
      <c r="D97">
        <v>2035.3</v>
      </c>
      <c r="E97">
        <v>172865388544</v>
      </c>
      <c r="F97">
        <v>77.8</v>
      </c>
      <c r="H97">
        <v>79.4</v>
      </c>
      <c r="J97">
        <v>70.1</v>
      </c>
      <c r="L97">
        <v>63.8</v>
      </c>
    </row>
    <row r="98" spans="1:12">
      <c r="A98" t="str">
        <f>"880921"</f>
        <v>880921</v>
      </c>
      <c r="B98" t="s">
        <v>109</v>
      </c>
      <c r="C98">
        <v>0.81</v>
      </c>
      <c r="D98">
        <v>2020.92</v>
      </c>
      <c r="E98">
        <v>308782039040</v>
      </c>
      <c r="F98">
        <v>39.9</v>
      </c>
      <c r="H98">
        <v>62.8</v>
      </c>
      <c r="J98">
        <v>26.8</v>
      </c>
      <c r="L98">
        <v>81.1</v>
      </c>
    </row>
    <row r="99" spans="1:12">
      <c r="A99" t="str">
        <f>"880547"</f>
        <v>880547</v>
      </c>
      <c r="B99" t="s">
        <v>110</v>
      </c>
      <c r="C99">
        <v>1.57</v>
      </c>
      <c r="D99">
        <v>2018.36</v>
      </c>
      <c r="E99">
        <v>15473563648</v>
      </c>
      <c r="F99">
        <v>79.6</v>
      </c>
      <c r="H99">
        <v>92.7</v>
      </c>
      <c r="I99">
        <v>92.7</v>
      </c>
      <c r="J99">
        <v>92.7</v>
      </c>
      <c r="K99">
        <v>92.7</v>
      </c>
      <c r="L99">
        <v>72.2</v>
      </c>
    </row>
    <row r="100" spans="1:12">
      <c r="A100" t="str">
        <f>"880633"</f>
        <v>880633</v>
      </c>
      <c r="B100" t="s">
        <v>111</v>
      </c>
      <c r="C100">
        <v>1.05</v>
      </c>
      <c r="D100">
        <v>2016.28</v>
      </c>
      <c r="E100">
        <v>58699157504</v>
      </c>
      <c r="F100">
        <v>58.8</v>
      </c>
      <c r="H100">
        <v>66.8</v>
      </c>
      <c r="J100">
        <v>62.4</v>
      </c>
      <c r="L100">
        <v>72.9</v>
      </c>
    </row>
    <row r="101" spans="1:12">
      <c r="A101" t="str">
        <f>"880522"</f>
        <v>880522</v>
      </c>
      <c r="B101" t="s">
        <v>112</v>
      </c>
      <c r="C101">
        <v>0.5</v>
      </c>
      <c r="D101">
        <v>2012.02</v>
      </c>
      <c r="E101">
        <v>233322561536</v>
      </c>
      <c r="F101">
        <v>51.6</v>
      </c>
      <c r="H101">
        <v>72.4</v>
      </c>
      <c r="J101">
        <v>37.2</v>
      </c>
      <c r="L101">
        <v>48.7</v>
      </c>
    </row>
    <row r="102" spans="1:13">
      <c r="A102" t="str">
        <f>"880739"</f>
        <v>880739</v>
      </c>
      <c r="B102" t="s">
        <v>113</v>
      </c>
      <c r="C102">
        <v>1.53</v>
      </c>
      <c r="D102">
        <v>2006.3</v>
      </c>
      <c r="E102">
        <v>114700763136</v>
      </c>
      <c r="F102">
        <v>32.4</v>
      </c>
      <c r="H102">
        <v>60.7</v>
      </c>
      <c r="J102">
        <v>52.4</v>
      </c>
      <c r="L102">
        <v>91.6</v>
      </c>
      <c r="M102">
        <v>91.6</v>
      </c>
    </row>
    <row r="103" spans="1:12">
      <c r="A103" t="str">
        <f>"880933"</f>
        <v>880933</v>
      </c>
      <c r="B103" t="s">
        <v>114</v>
      </c>
      <c r="C103">
        <v>0.07</v>
      </c>
      <c r="D103">
        <v>2004.31</v>
      </c>
      <c r="E103">
        <v>74340417536</v>
      </c>
      <c r="F103">
        <v>25</v>
      </c>
      <c r="H103">
        <v>35.7</v>
      </c>
      <c r="J103">
        <v>10.9</v>
      </c>
      <c r="L103">
        <v>38.2</v>
      </c>
    </row>
    <row r="104" spans="1:12">
      <c r="A104" t="str">
        <f>"880936"</f>
        <v>880936</v>
      </c>
      <c r="B104" t="s">
        <v>115</v>
      </c>
      <c r="C104">
        <v>-1.54</v>
      </c>
      <c r="D104">
        <v>2001.07</v>
      </c>
      <c r="E104">
        <v>5412701184</v>
      </c>
      <c r="F104">
        <v>7.9</v>
      </c>
      <c r="H104">
        <v>3.5</v>
      </c>
      <c r="J104">
        <v>38.4</v>
      </c>
      <c r="L104">
        <v>8.6</v>
      </c>
    </row>
    <row r="105" spans="1:12">
      <c r="A105" t="str">
        <f>"880635"</f>
        <v>880635</v>
      </c>
      <c r="B105" t="s">
        <v>116</v>
      </c>
      <c r="C105">
        <v>1.32</v>
      </c>
      <c r="D105">
        <v>1988.64</v>
      </c>
      <c r="E105">
        <v>142673133568</v>
      </c>
      <c r="F105">
        <v>89.4</v>
      </c>
      <c r="H105">
        <v>94.3</v>
      </c>
      <c r="I105">
        <v>94.3</v>
      </c>
      <c r="J105">
        <v>86.2</v>
      </c>
      <c r="L105">
        <v>79.9</v>
      </c>
    </row>
    <row r="106" spans="1:13">
      <c r="A106" t="str">
        <f>"880674"</f>
        <v>880674</v>
      </c>
      <c r="B106" t="s">
        <v>117</v>
      </c>
      <c r="C106">
        <v>2.42</v>
      </c>
      <c r="D106">
        <v>1986.81</v>
      </c>
      <c r="E106">
        <v>148895760384</v>
      </c>
      <c r="F106">
        <v>75</v>
      </c>
      <c r="H106">
        <v>83.6</v>
      </c>
      <c r="J106">
        <v>73.8</v>
      </c>
      <c r="L106">
        <v>94.4</v>
      </c>
      <c r="M106">
        <v>94.4</v>
      </c>
    </row>
    <row r="107" spans="1:12">
      <c r="A107" t="str">
        <f>"880736"</f>
        <v>880736</v>
      </c>
      <c r="B107" t="s">
        <v>118</v>
      </c>
      <c r="C107">
        <v>1.33</v>
      </c>
      <c r="D107">
        <v>1983.82</v>
      </c>
      <c r="E107">
        <v>52346449920</v>
      </c>
      <c r="F107">
        <v>84.1</v>
      </c>
      <c r="H107">
        <v>82</v>
      </c>
      <c r="J107">
        <v>76.6</v>
      </c>
      <c r="L107">
        <v>84.8</v>
      </c>
    </row>
    <row r="108" spans="1:12">
      <c r="A108" t="str">
        <f>"880519"</f>
        <v>880519</v>
      </c>
      <c r="B108" t="s">
        <v>119</v>
      </c>
      <c r="C108">
        <v>0.06</v>
      </c>
      <c r="D108">
        <v>1983.76</v>
      </c>
      <c r="E108">
        <v>97892171776</v>
      </c>
      <c r="F108">
        <v>54.6</v>
      </c>
      <c r="H108">
        <v>40.8</v>
      </c>
      <c r="J108">
        <v>74.1</v>
      </c>
      <c r="L108">
        <v>59.6</v>
      </c>
    </row>
    <row r="109" spans="1:12">
      <c r="A109" t="str">
        <f>"880697"</f>
        <v>880697</v>
      </c>
      <c r="B109" t="s">
        <v>120</v>
      </c>
      <c r="C109">
        <v>0.9</v>
      </c>
      <c r="D109">
        <v>1983.39</v>
      </c>
      <c r="E109">
        <v>54682198016</v>
      </c>
      <c r="F109">
        <v>34.1</v>
      </c>
      <c r="H109">
        <v>57.7</v>
      </c>
      <c r="J109">
        <v>31.7</v>
      </c>
      <c r="L109">
        <v>53.3</v>
      </c>
    </row>
    <row r="110" spans="1:12">
      <c r="A110" t="str">
        <f>"880555"</f>
        <v>880555</v>
      </c>
      <c r="B110" t="s">
        <v>121</v>
      </c>
      <c r="C110">
        <v>0.86</v>
      </c>
      <c r="D110">
        <v>1979.46</v>
      </c>
      <c r="E110">
        <v>29411874816</v>
      </c>
      <c r="F110">
        <v>18.2</v>
      </c>
      <c r="H110">
        <v>41.1</v>
      </c>
      <c r="J110">
        <v>3.7</v>
      </c>
      <c r="L110">
        <v>65.9</v>
      </c>
    </row>
    <row r="111" spans="1:12">
      <c r="A111" t="str">
        <f>"880738"</f>
        <v>880738</v>
      </c>
      <c r="B111" t="s">
        <v>122</v>
      </c>
      <c r="C111">
        <v>0.4</v>
      </c>
      <c r="D111">
        <v>1972.92</v>
      </c>
      <c r="E111">
        <v>83205832704</v>
      </c>
      <c r="F111">
        <v>36.6</v>
      </c>
      <c r="H111">
        <v>47.1</v>
      </c>
      <c r="J111">
        <v>33.7</v>
      </c>
      <c r="L111">
        <v>69.2</v>
      </c>
    </row>
    <row r="112" spans="1:12">
      <c r="A112" t="str">
        <f>"880733"</f>
        <v>880733</v>
      </c>
      <c r="B112" t="s">
        <v>123</v>
      </c>
      <c r="C112">
        <v>0.58</v>
      </c>
      <c r="D112">
        <v>1966.21</v>
      </c>
      <c r="E112">
        <v>53153550336</v>
      </c>
      <c r="F112">
        <v>42.5</v>
      </c>
      <c r="H112">
        <v>73.3</v>
      </c>
      <c r="J112">
        <v>7.2</v>
      </c>
      <c r="L112">
        <v>47.3</v>
      </c>
    </row>
    <row r="113" spans="1:12">
      <c r="A113" t="str">
        <f>"880954"</f>
        <v>880954</v>
      </c>
      <c r="B113" t="s">
        <v>124</v>
      </c>
      <c r="C113">
        <v>0.71</v>
      </c>
      <c r="D113">
        <v>1964.99</v>
      </c>
      <c r="E113">
        <v>239935143936</v>
      </c>
      <c r="F113">
        <v>37.1</v>
      </c>
      <c r="H113">
        <v>56.5</v>
      </c>
      <c r="J113">
        <v>24.9</v>
      </c>
      <c r="L113">
        <v>82.9</v>
      </c>
    </row>
    <row r="114" spans="1:12">
      <c r="A114" t="str">
        <f>"880521"</f>
        <v>880521</v>
      </c>
      <c r="B114" t="s">
        <v>125</v>
      </c>
      <c r="C114">
        <v>-0.32</v>
      </c>
      <c r="D114">
        <v>1951.73</v>
      </c>
      <c r="E114">
        <v>84036198400</v>
      </c>
      <c r="F114">
        <v>95</v>
      </c>
      <c r="G114">
        <v>95</v>
      </c>
      <c r="H114">
        <v>91.5</v>
      </c>
      <c r="I114">
        <v>91.5</v>
      </c>
      <c r="J114">
        <v>91.3</v>
      </c>
      <c r="K114">
        <v>91.3</v>
      </c>
      <c r="L114">
        <v>41.4</v>
      </c>
    </row>
    <row r="115" spans="1:12">
      <c r="A115" t="str">
        <f>"880922"</f>
        <v>880922</v>
      </c>
      <c r="B115" t="s">
        <v>126</v>
      </c>
      <c r="C115">
        <v>0.78</v>
      </c>
      <c r="D115">
        <v>1943.12</v>
      </c>
      <c r="E115">
        <v>14621321216</v>
      </c>
      <c r="F115">
        <v>85.2</v>
      </c>
      <c r="H115">
        <v>74.2</v>
      </c>
      <c r="J115">
        <v>72.2</v>
      </c>
      <c r="L115">
        <v>55.2</v>
      </c>
    </row>
    <row r="116" spans="1:13">
      <c r="A116" t="str">
        <f>"880607"</f>
        <v>880607</v>
      </c>
      <c r="B116" t="s">
        <v>127</v>
      </c>
      <c r="C116">
        <v>1.53</v>
      </c>
      <c r="D116">
        <v>1934.45</v>
      </c>
      <c r="E116">
        <v>331381342208</v>
      </c>
      <c r="F116">
        <v>54.4</v>
      </c>
      <c r="H116">
        <v>71.9</v>
      </c>
      <c r="J116">
        <v>60.6</v>
      </c>
      <c r="L116">
        <v>90.6</v>
      </c>
      <c r="M116">
        <v>90.6</v>
      </c>
    </row>
    <row r="117" spans="1:12">
      <c r="A117" t="str">
        <f>"880596"</f>
        <v>880596</v>
      </c>
      <c r="B117" t="s">
        <v>128</v>
      </c>
      <c r="C117">
        <v>-0.81</v>
      </c>
      <c r="D117">
        <v>1927.15</v>
      </c>
      <c r="E117">
        <v>32031711232</v>
      </c>
      <c r="F117">
        <v>46.2</v>
      </c>
      <c r="H117">
        <v>39.2</v>
      </c>
      <c r="J117">
        <v>40.5</v>
      </c>
      <c r="L117">
        <v>15.6</v>
      </c>
    </row>
    <row r="118" spans="1:12">
      <c r="A118" t="str">
        <f>"880950"</f>
        <v>880950</v>
      </c>
      <c r="B118" t="s">
        <v>129</v>
      </c>
      <c r="C118">
        <v>0.32</v>
      </c>
      <c r="D118">
        <v>1926.58</v>
      </c>
      <c r="E118">
        <v>108434219008</v>
      </c>
      <c r="F118">
        <v>59.5</v>
      </c>
      <c r="H118">
        <v>88.5</v>
      </c>
      <c r="J118">
        <v>20</v>
      </c>
      <c r="L118">
        <v>31.2</v>
      </c>
    </row>
    <row r="119" spans="1:12">
      <c r="A119" t="str">
        <f>"880705"</f>
        <v>880705</v>
      </c>
      <c r="B119" t="s">
        <v>130</v>
      </c>
      <c r="C119">
        <v>0.67</v>
      </c>
      <c r="D119">
        <v>1905.59</v>
      </c>
      <c r="E119">
        <v>188260089856</v>
      </c>
      <c r="F119">
        <v>70.3</v>
      </c>
      <c r="H119">
        <v>64</v>
      </c>
      <c r="J119">
        <v>74.3</v>
      </c>
      <c r="L119">
        <v>57.5</v>
      </c>
    </row>
    <row r="120" spans="1:12">
      <c r="A120" t="str">
        <f>"880528"</f>
        <v>880528</v>
      </c>
      <c r="B120" t="s">
        <v>131</v>
      </c>
      <c r="C120">
        <v>0.17</v>
      </c>
      <c r="D120">
        <v>1901.67</v>
      </c>
      <c r="E120">
        <v>60171939840</v>
      </c>
      <c r="F120">
        <v>60</v>
      </c>
      <c r="H120">
        <v>87.8</v>
      </c>
      <c r="J120">
        <v>3.4</v>
      </c>
      <c r="L120">
        <v>33.5</v>
      </c>
    </row>
    <row r="121" spans="1:12">
      <c r="A121" t="str">
        <f>"880542"</f>
        <v>880542</v>
      </c>
      <c r="B121" t="s">
        <v>132</v>
      </c>
      <c r="C121">
        <v>0.02</v>
      </c>
      <c r="D121">
        <v>1888.6</v>
      </c>
      <c r="E121">
        <v>94835662848</v>
      </c>
      <c r="F121">
        <v>44.8</v>
      </c>
      <c r="H121">
        <v>45.5</v>
      </c>
      <c r="J121">
        <v>50.1</v>
      </c>
      <c r="L121">
        <v>35.6</v>
      </c>
    </row>
    <row r="122" spans="1:12">
      <c r="A122" t="str">
        <f>"880541"</f>
        <v>880541</v>
      </c>
      <c r="B122" t="s">
        <v>133</v>
      </c>
      <c r="C122">
        <v>1.67</v>
      </c>
      <c r="D122">
        <v>1877.58</v>
      </c>
      <c r="E122">
        <v>54979895296</v>
      </c>
      <c r="F122">
        <v>64.7</v>
      </c>
      <c r="H122">
        <v>72.1</v>
      </c>
      <c r="J122">
        <v>38.6</v>
      </c>
      <c r="L122">
        <v>84.3</v>
      </c>
    </row>
    <row r="123" spans="1:13">
      <c r="A123" t="str">
        <f>"880746"</f>
        <v>880746</v>
      </c>
      <c r="B123" t="s">
        <v>134</v>
      </c>
      <c r="C123">
        <v>0.65</v>
      </c>
      <c r="D123">
        <v>1871.46</v>
      </c>
      <c r="E123">
        <v>41256710144</v>
      </c>
      <c r="F123">
        <v>14.7</v>
      </c>
      <c r="H123">
        <v>29.9</v>
      </c>
      <c r="J123">
        <v>24.4</v>
      </c>
      <c r="L123">
        <v>92.5</v>
      </c>
      <c r="M123">
        <v>92.5</v>
      </c>
    </row>
    <row r="124" spans="1:12">
      <c r="A124" t="str">
        <f>"880730"</f>
        <v>880730</v>
      </c>
      <c r="B124" t="s">
        <v>135</v>
      </c>
      <c r="C124">
        <v>1.03</v>
      </c>
      <c r="D124">
        <v>1855.35</v>
      </c>
      <c r="E124">
        <v>438867034112</v>
      </c>
      <c r="F124">
        <v>65.6</v>
      </c>
      <c r="H124">
        <v>55.1</v>
      </c>
      <c r="J124">
        <v>75.2</v>
      </c>
      <c r="L124">
        <v>73.1</v>
      </c>
    </row>
    <row r="125" spans="1:12">
      <c r="A125" t="str">
        <f>"880568"</f>
        <v>880568</v>
      </c>
      <c r="B125" t="s">
        <v>136</v>
      </c>
      <c r="C125">
        <v>0.27</v>
      </c>
      <c r="D125">
        <v>1835.73</v>
      </c>
      <c r="E125">
        <v>10122378240</v>
      </c>
      <c r="F125">
        <v>48.1</v>
      </c>
      <c r="H125">
        <v>28.2</v>
      </c>
      <c r="J125">
        <v>77.3</v>
      </c>
      <c r="L125">
        <v>41.2</v>
      </c>
    </row>
    <row r="126" spans="1:12">
      <c r="A126" t="str">
        <f>"880686"</f>
        <v>880686</v>
      </c>
      <c r="B126" t="s">
        <v>137</v>
      </c>
      <c r="C126">
        <v>0.57</v>
      </c>
      <c r="D126">
        <v>1828.41</v>
      </c>
      <c r="E126">
        <v>73839091712</v>
      </c>
      <c r="F126">
        <v>36.9</v>
      </c>
      <c r="H126">
        <v>52.8</v>
      </c>
      <c r="J126">
        <v>45.4</v>
      </c>
      <c r="L126">
        <v>46.8</v>
      </c>
    </row>
    <row r="127" spans="1:12">
      <c r="A127" t="str">
        <f>"880929"</f>
        <v>880929</v>
      </c>
      <c r="B127" t="s">
        <v>138</v>
      </c>
      <c r="C127">
        <v>-1.2</v>
      </c>
      <c r="D127">
        <v>1822.48</v>
      </c>
      <c r="E127">
        <v>12580041728</v>
      </c>
      <c r="F127">
        <v>5.6</v>
      </c>
      <c r="H127">
        <v>8.8</v>
      </c>
      <c r="J127">
        <v>30.5</v>
      </c>
      <c r="L127">
        <v>31</v>
      </c>
    </row>
    <row r="128" spans="1:12">
      <c r="A128" t="str">
        <f>"880754"</f>
        <v>880754</v>
      </c>
      <c r="B128" t="s">
        <v>139</v>
      </c>
      <c r="C128">
        <v>1</v>
      </c>
      <c r="D128">
        <v>1816.94</v>
      </c>
      <c r="E128">
        <v>9118529536</v>
      </c>
      <c r="F128">
        <v>94.3</v>
      </c>
      <c r="G128">
        <v>94.3</v>
      </c>
      <c r="H128">
        <v>80.1</v>
      </c>
      <c r="J128">
        <v>94.8</v>
      </c>
      <c r="K128">
        <v>94.8</v>
      </c>
      <c r="L128">
        <v>33.7</v>
      </c>
    </row>
    <row r="129" spans="1:12">
      <c r="A129" t="str">
        <f>"880978"</f>
        <v>880978</v>
      </c>
      <c r="B129" t="s">
        <v>140</v>
      </c>
      <c r="C129">
        <v>0.37</v>
      </c>
      <c r="D129">
        <v>1812.12</v>
      </c>
      <c r="E129">
        <v>471457169408</v>
      </c>
      <c r="F129">
        <v>31.5</v>
      </c>
      <c r="H129">
        <v>53</v>
      </c>
      <c r="J129">
        <v>28.4</v>
      </c>
      <c r="L129">
        <v>58.5</v>
      </c>
    </row>
    <row r="130" spans="1:12">
      <c r="A130" t="str">
        <f>"880616"</f>
        <v>880616</v>
      </c>
      <c r="B130" t="s">
        <v>141</v>
      </c>
      <c r="C130">
        <v>0.64</v>
      </c>
      <c r="D130">
        <v>1802.88</v>
      </c>
      <c r="E130">
        <v>87573389312</v>
      </c>
      <c r="F130">
        <v>82.7</v>
      </c>
      <c r="H130">
        <v>95.5</v>
      </c>
      <c r="I130">
        <v>95.5</v>
      </c>
      <c r="J130">
        <v>66.2</v>
      </c>
      <c r="L130">
        <v>30.3</v>
      </c>
    </row>
    <row r="131" spans="1:12">
      <c r="A131" t="str">
        <f>"880664"</f>
        <v>880664</v>
      </c>
      <c r="B131" t="s">
        <v>142</v>
      </c>
      <c r="C131">
        <v>0.62</v>
      </c>
      <c r="D131">
        <v>1795.96</v>
      </c>
      <c r="E131">
        <v>103216054272</v>
      </c>
      <c r="F131">
        <v>56</v>
      </c>
      <c r="H131">
        <v>66.3</v>
      </c>
      <c r="J131">
        <v>45.9</v>
      </c>
      <c r="L131">
        <v>59.9</v>
      </c>
    </row>
    <row r="132" spans="1:12">
      <c r="A132" t="str">
        <f>"880696"</f>
        <v>880696</v>
      </c>
      <c r="B132" t="s">
        <v>143</v>
      </c>
      <c r="C132">
        <v>0.84</v>
      </c>
      <c r="D132">
        <v>1786.36</v>
      </c>
      <c r="E132">
        <v>76573220864</v>
      </c>
      <c r="F132">
        <v>50.7</v>
      </c>
      <c r="H132">
        <v>61.4</v>
      </c>
      <c r="J132">
        <v>50.5</v>
      </c>
      <c r="L132">
        <v>51.7</v>
      </c>
    </row>
    <row r="133" spans="1:12">
      <c r="A133" t="str">
        <f>"880955"</f>
        <v>880955</v>
      </c>
      <c r="B133" t="s">
        <v>144</v>
      </c>
      <c r="C133">
        <v>-0.69</v>
      </c>
      <c r="D133">
        <v>1786</v>
      </c>
      <c r="E133">
        <v>128913104896</v>
      </c>
      <c r="F133">
        <v>31.7</v>
      </c>
      <c r="H133">
        <v>27.1</v>
      </c>
      <c r="J133">
        <v>48</v>
      </c>
      <c r="L133">
        <v>28.9</v>
      </c>
    </row>
    <row r="134" spans="1:12">
      <c r="A134" t="str">
        <f>"880629"</f>
        <v>880629</v>
      </c>
      <c r="B134" t="s">
        <v>145</v>
      </c>
      <c r="C134">
        <v>0.9</v>
      </c>
      <c r="D134">
        <v>1775.43</v>
      </c>
      <c r="E134">
        <v>32550975488</v>
      </c>
      <c r="F134">
        <v>87.8</v>
      </c>
      <c r="H134">
        <v>92.2</v>
      </c>
      <c r="I134">
        <v>92.2</v>
      </c>
      <c r="J134">
        <v>87.1</v>
      </c>
      <c r="L134">
        <v>50.8</v>
      </c>
    </row>
    <row r="135" spans="1:12">
      <c r="A135" t="str">
        <f>"880673"</f>
        <v>880673</v>
      </c>
      <c r="B135" t="s">
        <v>146</v>
      </c>
      <c r="C135">
        <v>0.94</v>
      </c>
      <c r="D135">
        <v>1773.87</v>
      </c>
      <c r="E135">
        <v>46682533888</v>
      </c>
      <c r="F135">
        <v>66.5</v>
      </c>
      <c r="H135">
        <v>87.3</v>
      </c>
      <c r="J135">
        <v>73.1</v>
      </c>
      <c r="L135">
        <v>83.9</v>
      </c>
    </row>
    <row r="136" spans="1:12">
      <c r="A136" t="str">
        <f>"880911"</f>
        <v>880911</v>
      </c>
      <c r="B136" t="s">
        <v>147</v>
      </c>
      <c r="C136">
        <v>-0.62</v>
      </c>
      <c r="D136">
        <v>1772.16</v>
      </c>
      <c r="E136">
        <v>74147192832</v>
      </c>
      <c r="F136">
        <v>42.9</v>
      </c>
      <c r="H136">
        <v>24</v>
      </c>
      <c r="J136">
        <v>63.6</v>
      </c>
      <c r="L136">
        <v>33.3</v>
      </c>
    </row>
    <row r="137" spans="1:12">
      <c r="A137" t="str">
        <f>"880762"</f>
        <v>880762</v>
      </c>
      <c r="B137" t="s">
        <v>148</v>
      </c>
      <c r="C137">
        <v>0.88</v>
      </c>
      <c r="D137">
        <v>1764.03</v>
      </c>
      <c r="E137">
        <v>152493457408</v>
      </c>
      <c r="F137">
        <v>21.7</v>
      </c>
      <c r="H137">
        <v>41.8</v>
      </c>
      <c r="J137">
        <v>12.1</v>
      </c>
      <c r="L137">
        <v>76.9</v>
      </c>
    </row>
    <row r="138" spans="1:12">
      <c r="A138" t="str">
        <f>"880590"</f>
        <v>880590</v>
      </c>
      <c r="B138" t="s">
        <v>149</v>
      </c>
      <c r="C138">
        <v>-0.65</v>
      </c>
      <c r="D138">
        <v>1763.19</v>
      </c>
      <c r="E138">
        <v>117550882816</v>
      </c>
      <c r="F138">
        <v>64.2</v>
      </c>
      <c r="H138">
        <v>70.3</v>
      </c>
      <c r="J138">
        <v>40.7</v>
      </c>
      <c r="L138">
        <v>71.7</v>
      </c>
    </row>
    <row r="139" spans="1:12">
      <c r="A139" t="str">
        <f>"880731"</f>
        <v>880731</v>
      </c>
      <c r="B139" t="s">
        <v>150</v>
      </c>
      <c r="C139">
        <v>0.19</v>
      </c>
      <c r="D139">
        <v>1756.55</v>
      </c>
      <c r="E139">
        <v>195375742976</v>
      </c>
      <c r="F139">
        <v>73.3</v>
      </c>
      <c r="H139">
        <v>76.1</v>
      </c>
      <c r="J139">
        <v>79.2</v>
      </c>
      <c r="L139">
        <v>75.5</v>
      </c>
    </row>
    <row r="140" spans="1:12">
      <c r="A140" t="str">
        <f>"880728"</f>
        <v>880728</v>
      </c>
      <c r="B140" t="s">
        <v>151</v>
      </c>
      <c r="C140">
        <v>-0.24</v>
      </c>
      <c r="D140">
        <v>1751.68</v>
      </c>
      <c r="E140">
        <v>28889321472</v>
      </c>
      <c r="F140">
        <v>43.4</v>
      </c>
      <c r="H140">
        <v>31.5</v>
      </c>
      <c r="J140">
        <v>72</v>
      </c>
      <c r="L140">
        <v>38.4</v>
      </c>
    </row>
    <row r="141" spans="1:12">
      <c r="A141" t="str">
        <f>"880524"</f>
        <v>880524</v>
      </c>
      <c r="B141" t="s">
        <v>152</v>
      </c>
      <c r="C141">
        <v>0</v>
      </c>
      <c r="D141">
        <v>1749.16</v>
      </c>
      <c r="E141">
        <v>128997744640</v>
      </c>
      <c r="F141">
        <v>40.4</v>
      </c>
      <c r="H141">
        <v>32.4</v>
      </c>
      <c r="J141">
        <v>48.2</v>
      </c>
      <c r="L141">
        <v>39.3</v>
      </c>
    </row>
    <row r="142" spans="1:12">
      <c r="A142" t="str">
        <f>"880682"</f>
        <v>880682</v>
      </c>
      <c r="B142" t="s">
        <v>153</v>
      </c>
      <c r="C142">
        <v>1.24</v>
      </c>
      <c r="D142">
        <v>1748.11</v>
      </c>
      <c r="E142">
        <v>43397509120</v>
      </c>
      <c r="F142">
        <v>46.7</v>
      </c>
      <c r="H142">
        <v>68.6</v>
      </c>
      <c r="J142">
        <v>49.8</v>
      </c>
      <c r="L142">
        <v>82.2</v>
      </c>
    </row>
    <row r="143" spans="1:12">
      <c r="A143" t="str">
        <f>"880688"</f>
        <v>880688</v>
      </c>
      <c r="B143" t="s">
        <v>154</v>
      </c>
      <c r="C143">
        <v>0.74</v>
      </c>
      <c r="D143">
        <v>1742.43</v>
      </c>
      <c r="E143">
        <v>103815389184</v>
      </c>
      <c r="F143">
        <v>50.2</v>
      </c>
      <c r="H143">
        <v>61.9</v>
      </c>
      <c r="J143">
        <v>56.1</v>
      </c>
      <c r="L143">
        <v>66.4</v>
      </c>
    </row>
    <row r="144" spans="1:12">
      <c r="A144" t="str">
        <f>"880647"</f>
        <v>880647</v>
      </c>
      <c r="B144" t="s">
        <v>155</v>
      </c>
      <c r="C144">
        <v>-0.52</v>
      </c>
      <c r="D144">
        <v>1741</v>
      </c>
      <c r="E144">
        <v>34304786432</v>
      </c>
      <c r="F144">
        <v>12.6</v>
      </c>
      <c r="H144">
        <v>34.1</v>
      </c>
      <c r="J144">
        <v>8.6</v>
      </c>
      <c r="L144">
        <v>66.2</v>
      </c>
    </row>
    <row r="145" spans="1:12">
      <c r="A145" t="str">
        <f>"880552"</f>
        <v>880552</v>
      </c>
      <c r="B145" t="s">
        <v>156</v>
      </c>
      <c r="C145">
        <v>0.61</v>
      </c>
      <c r="D145">
        <v>1737.45</v>
      </c>
      <c r="E145">
        <v>146111561728</v>
      </c>
      <c r="F145">
        <v>26.8</v>
      </c>
      <c r="H145">
        <v>54.2</v>
      </c>
      <c r="J145">
        <v>22.8</v>
      </c>
      <c r="L145">
        <v>61.7</v>
      </c>
    </row>
    <row r="146" spans="1:12">
      <c r="A146" t="str">
        <f>"880609"</f>
        <v>880609</v>
      </c>
      <c r="B146" t="s">
        <v>157</v>
      </c>
      <c r="C146">
        <v>-0.26</v>
      </c>
      <c r="D146">
        <v>1729.95</v>
      </c>
      <c r="E146">
        <v>39546814464</v>
      </c>
      <c r="F146">
        <v>7.2</v>
      </c>
      <c r="H146">
        <v>16.8</v>
      </c>
      <c r="J146">
        <v>3.2</v>
      </c>
      <c r="L146">
        <v>39.8</v>
      </c>
    </row>
    <row r="147" spans="1:12">
      <c r="A147" t="str">
        <f>"880745"</f>
        <v>880745</v>
      </c>
      <c r="B147" t="s">
        <v>158</v>
      </c>
      <c r="C147">
        <v>-1.3</v>
      </c>
      <c r="D147">
        <v>1713.38</v>
      </c>
      <c r="E147">
        <v>5483553280</v>
      </c>
      <c r="F147">
        <v>14.9</v>
      </c>
      <c r="H147">
        <v>18.9</v>
      </c>
      <c r="J147">
        <v>55.9</v>
      </c>
      <c r="L147">
        <v>32.6</v>
      </c>
    </row>
    <row r="148" spans="1:12">
      <c r="A148" t="str">
        <f>"880597"</f>
        <v>880597</v>
      </c>
      <c r="B148" t="s">
        <v>159</v>
      </c>
      <c r="C148">
        <v>-0.64</v>
      </c>
      <c r="D148">
        <v>1711.5</v>
      </c>
      <c r="E148">
        <v>45027778560</v>
      </c>
      <c r="F148">
        <v>19.6</v>
      </c>
      <c r="H148">
        <v>27.8</v>
      </c>
      <c r="J148">
        <v>18.8</v>
      </c>
      <c r="L148">
        <v>23.3</v>
      </c>
    </row>
    <row r="149" spans="1:12">
      <c r="A149" t="str">
        <f>"880601"</f>
        <v>880601</v>
      </c>
      <c r="B149" t="s">
        <v>160</v>
      </c>
      <c r="C149">
        <v>0.5</v>
      </c>
      <c r="D149">
        <v>1675.98</v>
      </c>
      <c r="E149">
        <v>107226324992</v>
      </c>
      <c r="F149">
        <v>23.8</v>
      </c>
      <c r="H149">
        <v>38</v>
      </c>
      <c r="J149">
        <v>9.7</v>
      </c>
      <c r="L149">
        <v>74.8</v>
      </c>
    </row>
    <row r="150" spans="1:12">
      <c r="A150" t="str">
        <f>"880658"</f>
        <v>880658</v>
      </c>
      <c r="B150" t="s">
        <v>161</v>
      </c>
      <c r="C150">
        <v>2.04</v>
      </c>
      <c r="D150">
        <v>1675.54</v>
      </c>
      <c r="E150">
        <v>67204780032</v>
      </c>
      <c r="F150">
        <v>61.2</v>
      </c>
      <c r="H150">
        <v>53.5</v>
      </c>
      <c r="J150">
        <v>72.4</v>
      </c>
      <c r="L150">
        <v>81.5</v>
      </c>
    </row>
    <row r="151" spans="1:12">
      <c r="A151" t="str">
        <f>"880630"</f>
        <v>880630</v>
      </c>
      <c r="B151" t="s">
        <v>162</v>
      </c>
      <c r="C151">
        <v>1.31</v>
      </c>
      <c r="D151">
        <v>1674.68</v>
      </c>
      <c r="E151">
        <v>80904994816</v>
      </c>
      <c r="F151">
        <v>71</v>
      </c>
      <c r="H151">
        <v>57.2</v>
      </c>
      <c r="J151">
        <v>64.1</v>
      </c>
      <c r="L151">
        <v>70.1</v>
      </c>
    </row>
    <row r="152" spans="1:12">
      <c r="A152" t="str">
        <f>"880710"</f>
        <v>880710</v>
      </c>
      <c r="B152" t="s">
        <v>163</v>
      </c>
      <c r="C152">
        <v>-1.87</v>
      </c>
      <c r="D152">
        <v>1673.42</v>
      </c>
      <c r="E152">
        <v>2919931648</v>
      </c>
      <c r="F152">
        <v>15.1</v>
      </c>
      <c r="H152">
        <v>17.5</v>
      </c>
      <c r="J152">
        <v>43.3</v>
      </c>
      <c r="L152">
        <v>3.7</v>
      </c>
    </row>
    <row r="153" spans="1:13">
      <c r="A153" t="str">
        <f>"880689"</f>
        <v>880689</v>
      </c>
      <c r="B153" t="s">
        <v>164</v>
      </c>
      <c r="C153">
        <v>1.57</v>
      </c>
      <c r="D153">
        <v>1670.67</v>
      </c>
      <c r="E153">
        <v>94031060992</v>
      </c>
      <c r="F153">
        <v>53.2</v>
      </c>
      <c r="H153">
        <v>75.4</v>
      </c>
      <c r="J153">
        <v>25.8</v>
      </c>
      <c r="L153">
        <v>95.3</v>
      </c>
      <c r="M153">
        <v>95.3</v>
      </c>
    </row>
    <row r="154" spans="1:13">
      <c r="A154" t="str">
        <f>"880740"</f>
        <v>880740</v>
      </c>
      <c r="B154" t="s">
        <v>165</v>
      </c>
      <c r="C154">
        <v>1.13</v>
      </c>
      <c r="D154">
        <v>1666.49</v>
      </c>
      <c r="E154">
        <v>29242169344</v>
      </c>
      <c r="F154">
        <v>76.6</v>
      </c>
      <c r="H154">
        <v>79.2</v>
      </c>
      <c r="J154">
        <v>90.9</v>
      </c>
      <c r="K154">
        <v>90.9</v>
      </c>
      <c r="L154">
        <v>93.9</v>
      </c>
      <c r="M154">
        <v>93.9</v>
      </c>
    </row>
    <row r="155" spans="1:12">
      <c r="A155" t="str">
        <f>"880722"</f>
        <v>880722</v>
      </c>
      <c r="B155" t="s">
        <v>166</v>
      </c>
      <c r="C155">
        <v>0.43</v>
      </c>
      <c r="D155">
        <v>1635.8</v>
      </c>
      <c r="E155">
        <v>121439125504</v>
      </c>
      <c r="F155">
        <v>19.3</v>
      </c>
      <c r="H155">
        <v>38.7</v>
      </c>
      <c r="J155">
        <v>11.1</v>
      </c>
      <c r="L155">
        <v>61</v>
      </c>
    </row>
    <row r="156" spans="1:12">
      <c r="A156" t="str">
        <f>"880636"</f>
        <v>880636</v>
      </c>
      <c r="B156" t="s">
        <v>167</v>
      </c>
      <c r="C156">
        <v>1.19</v>
      </c>
      <c r="D156">
        <v>1634.12</v>
      </c>
      <c r="E156">
        <v>26604105728</v>
      </c>
      <c r="F156">
        <v>26.6</v>
      </c>
      <c r="H156">
        <v>48.3</v>
      </c>
      <c r="J156">
        <v>69.4</v>
      </c>
      <c r="L156">
        <v>81.3</v>
      </c>
    </row>
    <row r="157" spans="1:12">
      <c r="A157" t="str">
        <f>"880608"</f>
        <v>880608</v>
      </c>
      <c r="B157" t="s">
        <v>168</v>
      </c>
      <c r="C157">
        <v>1.76</v>
      </c>
      <c r="D157">
        <v>1620.5</v>
      </c>
      <c r="E157">
        <v>126300053504</v>
      </c>
      <c r="F157">
        <v>89.7</v>
      </c>
      <c r="H157">
        <v>93.9</v>
      </c>
      <c r="I157">
        <v>93.9</v>
      </c>
      <c r="J157">
        <v>90.4</v>
      </c>
      <c r="K157">
        <v>90.4</v>
      </c>
      <c r="L157">
        <v>75.2</v>
      </c>
    </row>
    <row r="158" spans="1:12">
      <c r="A158" t="str">
        <f>"880627"</f>
        <v>880627</v>
      </c>
      <c r="B158" t="s">
        <v>169</v>
      </c>
      <c r="C158">
        <v>1.61</v>
      </c>
      <c r="D158">
        <v>1606.3</v>
      </c>
      <c r="E158">
        <v>43656953856</v>
      </c>
      <c r="F158">
        <v>63.7</v>
      </c>
      <c r="H158">
        <v>54.6</v>
      </c>
      <c r="J158">
        <v>84.3</v>
      </c>
      <c r="L158">
        <v>71.3</v>
      </c>
    </row>
    <row r="159" spans="1:12">
      <c r="A159" t="str">
        <f>"880610"</f>
        <v>880610</v>
      </c>
      <c r="B159" t="s">
        <v>170</v>
      </c>
      <c r="C159">
        <v>-0.1</v>
      </c>
      <c r="D159">
        <v>1605.14</v>
      </c>
      <c r="E159">
        <v>32202145792</v>
      </c>
      <c r="F159">
        <v>28</v>
      </c>
      <c r="H159">
        <v>34.5</v>
      </c>
      <c r="J159">
        <v>55.7</v>
      </c>
      <c r="L159">
        <v>35.1</v>
      </c>
    </row>
    <row r="160" spans="1:12">
      <c r="A160" t="str">
        <f>"880662"</f>
        <v>880662</v>
      </c>
      <c r="B160" t="s">
        <v>171</v>
      </c>
      <c r="C160">
        <v>-0.18</v>
      </c>
      <c r="D160">
        <v>1602.49</v>
      </c>
      <c r="E160">
        <v>17508474880</v>
      </c>
      <c r="F160">
        <v>27.3</v>
      </c>
      <c r="H160">
        <v>56.7</v>
      </c>
      <c r="J160">
        <v>7.6</v>
      </c>
      <c r="L160">
        <v>36.5</v>
      </c>
    </row>
    <row r="161" spans="1:12">
      <c r="A161" t="str">
        <f>"880977"</f>
        <v>880977</v>
      </c>
      <c r="B161" t="s">
        <v>172</v>
      </c>
      <c r="C161">
        <v>-0.39</v>
      </c>
      <c r="D161">
        <v>1593.88</v>
      </c>
      <c r="E161">
        <v>52315721728</v>
      </c>
      <c r="F161">
        <v>62.6</v>
      </c>
      <c r="H161">
        <v>44.1</v>
      </c>
      <c r="J161">
        <v>91.8</v>
      </c>
      <c r="K161">
        <v>91.8</v>
      </c>
      <c r="L161">
        <v>47.5</v>
      </c>
    </row>
    <row r="162" spans="1:12">
      <c r="A162" t="str">
        <f>"880646"</f>
        <v>880646</v>
      </c>
      <c r="B162" t="s">
        <v>173</v>
      </c>
      <c r="C162">
        <v>1.41</v>
      </c>
      <c r="D162">
        <v>1593.44</v>
      </c>
      <c r="E162">
        <v>25601857536</v>
      </c>
      <c r="F162">
        <v>76.4</v>
      </c>
      <c r="H162">
        <v>64.2</v>
      </c>
      <c r="J162">
        <v>80.1</v>
      </c>
      <c r="L162">
        <v>89</v>
      </c>
    </row>
    <row r="163" spans="1:12">
      <c r="A163" t="str">
        <f>"880525"</f>
        <v>880525</v>
      </c>
      <c r="B163" t="s">
        <v>174</v>
      </c>
      <c r="C163">
        <v>0.49</v>
      </c>
      <c r="D163">
        <v>1575.9</v>
      </c>
      <c r="E163">
        <v>47780904960</v>
      </c>
      <c r="F163">
        <v>41.1</v>
      </c>
      <c r="H163">
        <v>46.7</v>
      </c>
      <c r="J163">
        <v>51.7</v>
      </c>
      <c r="L163">
        <v>50.1</v>
      </c>
    </row>
    <row r="164" spans="1:12">
      <c r="A164" t="str">
        <f>"880711"</f>
        <v>880711</v>
      </c>
      <c r="B164" t="s">
        <v>175</v>
      </c>
      <c r="C164">
        <v>0.48</v>
      </c>
      <c r="D164">
        <v>1574.53</v>
      </c>
      <c r="E164">
        <v>46929915904</v>
      </c>
      <c r="F164">
        <v>15.4</v>
      </c>
      <c r="H164">
        <v>23.5</v>
      </c>
      <c r="J164">
        <v>4.1</v>
      </c>
      <c r="L164">
        <v>74.5</v>
      </c>
    </row>
    <row r="165" spans="1:13">
      <c r="A165" t="str">
        <f>"880579"</f>
        <v>880579</v>
      </c>
      <c r="B165" t="s">
        <v>176</v>
      </c>
      <c r="C165">
        <v>1.78</v>
      </c>
      <c r="D165">
        <v>1559.91</v>
      </c>
      <c r="E165">
        <v>76915048448</v>
      </c>
      <c r="F165">
        <v>32</v>
      </c>
      <c r="H165">
        <v>75.2</v>
      </c>
      <c r="J165">
        <v>22.3</v>
      </c>
      <c r="L165">
        <v>95.5</v>
      </c>
      <c r="M165">
        <v>95.5</v>
      </c>
    </row>
    <row r="166" spans="1:12">
      <c r="A166" t="str">
        <f>"880797"</f>
        <v>880797</v>
      </c>
      <c r="B166" t="s">
        <v>177</v>
      </c>
      <c r="C166">
        <v>-1.07</v>
      </c>
      <c r="D166">
        <v>1556.86</v>
      </c>
      <c r="E166">
        <v>6243364352</v>
      </c>
      <c r="F166">
        <v>34.5</v>
      </c>
      <c r="H166">
        <v>32.9</v>
      </c>
      <c r="J166">
        <v>86.9</v>
      </c>
      <c r="L166">
        <v>70.8</v>
      </c>
    </row>
    <row r="167" spans="1:12">
      <c r="A167" t="str">
        <f>"880613"</f>
        <v>880613</v>
      </c>
      <c r="B167" t="s">
        <v>178</v>
      </c>
      <c r="C167">
        <v>0.35</v>
      </c>
      <c r="D167">
        <v>1555.61</v>
      </c>
      <c r="E167">
        <v>13414938624</v>
      </c>
      <c r="F167">
        <v>3</v>
      </c>
      <c r="H167">
        <v>22.6</v>
      </c>
      <c r="J167">
        <v>9.3</v>
      </c>
      <c r="L167">
        <v>64.5</v>
      </c>
    </row>
    <row r="168" spans="1:12">
      <c r="A168" t="str">
        <f>"880692"</f>
        <v>880692</v>
      </c>
      <c r="B168" t="s">
        <v>179</v>
      </c>
      <c r="C168">
        <v>-1.44</v>
      </c>
      <c r="D168">
        <v>1548.32</v>
      </c>
      <c r="E168">
        <v>98161065984</v>
      </c>
      <c r="F168">
        <v>81.7</v>
      </c>
      <c r="H168">
        <v>89.7</v>
      </c>
      <c r="J168">
        <v>76.9</v>
      </c>
      <c r="L168">
        <v>82.5</v>
      </c>
    </row>
    <row r="169" spans="1:12">
      <c r="A169" t="str">
        <f>"880941"</f>
        <v>880941</v>
      </c>
      <c r="B169" t="s">
        <v>180</v>
      </c>
      <c r="C169">
        <v>-0.76</v>
      </c>
      <c r="D169">
        <v>1547.32</v>
      </c>
      <c r="E169">
        <v>106265395200</v>
      </c>
      <c r="F169">
        <v>34.3</v>
      </c>
      <c r="H169">
        <v>31</v>
      </c>
      <c r="J169">
        <v>29.8</v>
      </c>
      <c r="L169">
        <v>22.3</v>
      </c>
    </row>
    <row r="170" spans="1:12">
      <c r="A170" t="str">
        <f>"880621"</f>
        <v>880621</v>
      </c>
      <c r="B170" t="s">
        <v>181</v>
      </c>
      <c r="C170">
        <v>-1.2</v>
      </c>
      <c r="D170">
        <v>1536.04</v>
      </c>
      <c r="E170">
        <v>71122468864</v>
      </c>
      <c r="F170">
        <v>52.1</v>
      </c>
      <c r="H170">
        <v>56.3</v>
      </c>
      <c r="J170">
        <v>46.8</v>
      </c>
      <c r="L170">
        <v>44.7</v>
      </c>
    </row>
    <row r="171" spans="1:12">
      <c r="A171" t="str">
        <f>"880660"</f>
        <v>880660</v>
      </c>
      <c r="B171" t="s">
        <v>182</v>
      </c>
      <c r="C171">
        <v>1.74</v>
      </c>
      <c r="D171">
        <v>1525.85</v>
      </c>
      <c r="E171">
        <v>20317571072</v>
      </c>
      <c r="F171">
        <v>40.6</v>
      </c>
      <c r="H171">
        <v>77.8</v>
      </c>
      <c r="J171">
        <v>20.7</v>
      </c>
      <c r="L171">
        <v>53.6</v>
      </c>
    </row>
    <row r="172" spans="1:12">
      <c r="A172" t="str">
        <f>"880628"</f>
        <v>880628</v>
      </c>
      <c r="B172" t="s">
        <v>183</v>
      </c>
      <c r="C172">
        <v>0.89</v>
      </c>
      <c r="D172">
        <v>1519.49</v>
      </c>
      <c r="E172">
        <v>27404883968</v>
      </c>
      <c r="F172">
        <v>86.4</v>
      </c>
      <c r="H172">
        <v>67.7</v>
      </c>
      <c r="J172">
        <v>92</v>
      </c>
      <c r="K172">
        <v>92</v>
      </c>
      <c r="L172">
        <v>79</v>
      </c>
    </row>
    <row r="173" spans="1:12">
      <c r="A173" t="str">
        <f>"880650"</f>
        <v>880650</v>
      </c>
      <c r="B173" t="s">
        <v>184</v>
      </c>
      <c r="C173">
        <v>0.18</v>
      </c>
      <c r="D173">
        <v>1515.27</v>
      </c>
      <c r="E173">
        <v>14770482176</v>
      </c>
      <c r="F173">
        <v>21.2</v>
      </c>
      <c r="H173">
        <v>43.4</v>
      </c>
      <c r="J173">
        <v>36.3</v>
      </c>
      <c r="L173">
        <v>31.9</v>
      </c>
    </row>
    <row r="174" spans="1:12">
      <c r="A174" t="str">
        <f>"880693"</f>
        <v>880693</v>
      </c>
      <c r="B174" t="s">
        <v>185</v>
      </c>
      <c r="C174">
        <v>0.83</v>
      </c>
      <c r="D174">
        <v>1512.19</v>
      </c>
      <c r="E174">
        <v>152328683520</v>
      </c>
      <c r="F174">
        <v>50.4</v>
      </c>
      <c r="H174">
        <v>77.3</v>
      </c>
      <c r="J174">
        <v>21.6</v>
      </c>
      <c r="L174">
        <v>83.6</v>
      </c>
    </row>
    <row r="175" spans="1:12">
      <c r="A175" t="str">
        <f>"880683"</f>
        <v>880683</v>
      </c>
      <c r="B175" t="s">
        <v>186</v>
      </c>
      <c r="C175">
        <v>0.91</v>
      </c>
      <c r="D175">
        <v>1507.34</v>
      </c>
      <c r="E175">
        <v>25196036096</v>
      </c>
      <c r="F175">
        <v>20.7</v>
      </c>
      <c r="H175">
        <v>42.2</v>
      </c>
      <c r="J175">
        <v>14.4</v>
      </c>
      <c r="L175">
        <v>57.1</v>
      </c>
    </row>
    <row r="176" spans="1:12">
      <c r="A176" t="str">
        <f>"880926"</f>
        <v>880926</v>
      </c>
      <c r="B176" t="s">
        <v>187</v>
      </c>
      <c r="C176">
        <v>-0.15</v>
      </c>
      <c r="D176">
        <v>1499.36</v>
      </c>
      <c r="E176">
        <v>26324529152</v>
      </c>
      <c r="F176">
        <v>41.8</v>
      </c>
      <c r="H176">
        <v>33.4</v>
      </c>
      <c r="J176">
        <v>68.9</v>
      </c>
      <c r="L176">
        <v>37</v>
      </c>
    </row>
    <row r="177" spans="1:12">
      <c r="A177" t="str">
        <f>"880757"</f>
        <v>880757</v>
      </c>
      <c r="B177" t="s">
        <v>188</v>
      </c>
      <c r="C177">
        <v>-0.55</v>
      </c>
      <c r="D177">
        <v>1493.23</v>
      </c>
      <c r="E177">
        <v>43083546624</v>
      </c>
      <c r="F177">
        <v>37.3</v>
      </c>
      <c r="H177">
        <v>30.6</v>
      </c>
      <c r="J177">
        <v>37.9</v>
      </c>
      <c r="L177">
        <v>24.2</v>
      </c>
    </row>
    <row r="178" spans="1:12">
      <c r="A178" t="str">
        <f>"880612"</f>
        <v>880612</v>
      </c>
      <c r="B178" t="s">
        <v>189</v>
      </c>
      <c r="C178">
        <v>0.67</v>
      </c>
      <c r="D178">
        <v>1491.08</v>
      </c>
      <c r="E178">
        <v>58320097280</v>
      </c>
      <c r="F178">
        <v>97.8</v>
      </c>
      <c r="G178">
        <v>97.8</v>
      </c>
      <c r="H178">
        <v>93.2</v>
      </c>
      <c r="I178">
        <v>93.2</v>
      </c>
      <c r="J178">
        <v>82.2</v>
      </c>
      <c r="L178">
        <v>87.1</v>
      </c>
    </row>
    <row r="179" spans="1:12">
      <c r="A179" t="str">
        <f>"880718"</f>
        <v>880718</v>
      </c>
      <c r="B179" t="s">
        <v>190</v>
      </c>
      <c r="C179">
        <v>-0.23</v>
      </c>
      <c r="D179">
        <v>1483.84</v>
      </c>
      <c r="E179">
        <v>73524289536</v>
      </c>
      <c r="F179">
        <v>72.4</v>
      </c>
      <c r="H179">
        <v>81.7</v>
      </c>
      <c r="J179">
        <v>59.4</v>
      </c>
      <c r="L179">
        <v>41.9</v>
      </c>
    </row>
    <row r="180" spans="1:12">
      <c r="A180" t="str">
        <f>"880750"</f>
        <v>880750</v>
      </c>
      <c r="B180" t="s">
        <v>191</v>
      </c>
      <c r="C180">
        <v>-0.21</v>
      </c>
      <c r="D180">
        <v>1482.97</v>
      </c>
      <c r="E180">
        <v>41175822336</v>
      </c>
      <c r="F180">
        <v>65.1</v>
      </c>
      <c r="H180">
        <v>48.8</v>
      </c>
      <c r="J180">
        <v>81.5</v>
      </c>
      <c r="L180">
        <v>34.7</v>
      </c>
    </row>
    <row r="181" spans="1:13">
      <c r="A181" t="str">
        <f>"880669"</f>
        <v>880669</v>
      </c>
      <c r="B181" t="s">
        <v>192</v>
      </c>
      <c r="C181">
        <v>1.66</v>
      </c>
      <c r="D181">
        <v>1477.6</v>
      </c>
      <c r="E181">
        <v>173536198656</v>
      </c>
      <c r="F181">
        <v>30.1</v>
      </c>
      <c r="H181">
        <v>60</v>
      </c>
      <c r="J181">
        <v>64.3</v>
      </c>
      <c r="L181">
        <v>96.2</v>
      </c>
      <c r="M181">
        <v>96.2</v>
      </c>
    </row>
    <row r="182" spans="1:13">
      <c r="A182" t="str">
        <f>"880604"</f>
        <v>880604</v>
      </c>
      <c r="B182" t="s">
        <v>193</v>
      </c>
      <c r="C182">
        <v>0.65</v>
      </c>
      <c r="D182">
        <v>1474.59</v>
      </c>
      <c r="E182">
        <v>11408551936</v>
      </c>
      <c r="F182">
        <v>73.5</v>
      </c>
      <c r="H182">
        <v>46.9</v>
      </c>
      <c r="J182">
        <v>92.3</v>
      </c>
      <c r="K182">
        <v>92.3</v>
      </c>
      <c r="L182">
        <v>95.8</v>
      </c>
      <c r="M182">
        <v>95.8</v>
      </c>
    </row>
    <row r="183" spans="1:13">
      <c r="A183" t="str">
        <f>"880899"</f>
        <v>880899</v>
      </c>
      <c r="B183" t="s">
        <v>194</v>
      </c>
      <c r="C183">
        <v>1.58</v>
      </c>
      <c r="D183">
        <v>1465.71</v>
      </c>
      <c r="E183">
        <v>63966580736</v>
      </c>
      <c r="F183">
        <v>96.7</v>
      </c>
      <c r="G183">
        <v>96.7</v>
      </c>
      <c r="H183">
        <v>88</v>
      </c>
      <c r="J183">
        <v>79</v>
      </c>
      <c r="L183">
        <v>96.9</v>
      </c>
      <c r="M183">
        <v>96.9</v>
      </c>
    </row>
    <row r="184" spans="1:12">
      <c r="A184" t="str">
        <f>"880732"</f>
        <v>880732</v>
      </c>
      <c r="B184" t="s">
        <v>195</v>
      </c>
      <c r="C184">
        <v>0.6</v>
      </c>
      <c r="D184">
        <v>1460.63</v>
      </c>
      <c r="E184">
        <v>285719035904</v>
      </c>
      <c r="F184">
        <v>36.2</v>
      </c>
      <c r="H184">
        <v>60.5</v>
      </c>
      <c r="J184">
        <v>17.2</v>
      </c>
      <c r="L184">
        <v>74.1</v>
      </c>
    </row>
    <row r="185" spans="1:12">
      <c r="A185" t="str">
        <f>"880586"</f>
        <v>880586</v>
      </c>
      <c r="B185" t="s">
        <v>196</v>
      </c>
      <c r="C185">
        <v>-1.62</v>
      </c>
      <c r="D185">
        <v>1460.02</v>
      </c>
      <c r="E185">
        <v>9156646912</v>
      </c>
      <c r="F185">
        <v>55.1</v>
      </c>
      <c r="H185">
        <v>17</v>
      </c>
      <c r="J185">
        <v>69.9</v>
      </c>
      <c r="L185">
        <v>16.7</v>
      </c>
    </row>
    <row r="186" spans="1:13">
      <c r="A186" t="str">
        <f>"880505"</f>
        <v>880505</v>
      </c>
      <c r="B186" t="s">
        <v>197</v>
      </c>
      <c r="C186">
        <v>0.65</v>
      </c>
      <c r="D186">
        <v>1454.27</v>
      </c>
      <c r="E186">
        <v>88116445184</v>
      </c>
      <c r="F186">
        <v>97.4</v>
      </c>
      <c r="G186">
        <v>97.4</v>
      </c>
      <c r="H186">
        <v>92.9</v>
      </c>
      <c r="I186">
        <v>92.9</v>
      </c>
      <c r="J186">
        <v>90.2</v>
      </c>
      <c r="K186">
        <v>90.2</v>
      </c>
      <c r="L186">
        <v>91.1</v>
      </c>
      <c r="M186">
        <v>91.1</v>
      </c>
    </row>
    <row r="187" spans="1:12">
      <c r="A187" t="str">
        <f>"880744"</f>
        <v>880744</v>
      </c>
      <c r="B187" t="s">
        <v>198</v>
      </c>
      <c r="C187">
        <v>-0.19</v>
      </c>
      <c r="D187">
        <v>1445.75</v>
      </c>
      <c r="E187">
        <v>14506220544</v>
      </c>
      <c r="F187">
        <v>65.4</v>
      </c>
      <c r="H187">
        <v>50.2</v>
      </c>
      <c r="J187">
        <v>81.1</v>
      </c>
      <c r="L187">
        <v>60.8</v>
      </c>
    </row>
    <row r="188" spans="1:12">
      <c r="A188" t="str">
        <f>"880611"</f>
        <v>880611</v>
      </c>
      <c r="B188" t="s">
        <v>199</v>
      </c>
      <c r="C188">
        <v>-0.4</v>
      </c>
      <c r="D188">
        <v>1444.31</v>
      </c>
      <c r="E188">
        <v>17687910400</v>
      </c>
      <c r="F188">
        <v>46.9</v>
      </c>
      <c r="H188">
        <v>63.5</v>
      </c>
      <c r="J188">
        <v>31.9</v>
      </c>
      <c r="L188">
        <v>44.9</v>
      </c>
    </row>
    <row r="189" spans="1:12">
      <c r="A189" t="str">
        <f>"880572"</f>
        <v>880572</v>
      </c>
      <c r="B189" t="s">
        <v>200</v>
      </c>
      <c r="C189">
        <v>-1.44</v>
      </c>
      <c r="D189">
        <v>1441.82</v>
      </c>
      <c r="E189">
        <v>81514037248</v>
      </c>
      <c r="F189">
        <v>25.9</v>
      </c>
      <c r="H189">
        <v>19.8</v>
      </c>
      <c r="J189">
        <v>27.5</v>
      </c>
      <c r="L189">
        <v>5.3</v>
      </c>
    </row>
    <row r="190" spans="1:12">
      <c r="A190" t="str">
        <f>"880726"</f>
        <v>880726</v>
      </c>
      <c r="B190" t="s">
        <v>201</v>
      </c>
      <c r="C190">
        <v>1.72</v>
      </c>
      <c r="D190">
        <v>1441.29</v>
      </c>
      <c r="E190">
        <v>69207531520</v>
      </c>
      <c r="F190">
        <v>71.9</v>
      </c>
      <c r="H190">
        <v>78.2</v>
      </c>
      <c r="J190">
        <v>77.1</v>
      </c>
      <c r="L190">
        <v>51.2</v>
      </c>
    </row>
    <row r="191" spans="1:12">
      <c r="A191" t="str">
        <f>"880724"</f>
        <v>880724</v>
      </c>
      <c r="B191" t="s">
        <v>202</v>
      </c>
      <c r="C191">
        <v>-0.71</v>
      </c>
      <c r="D191">
        <v>1431.05</v>
      </c>
      <c r="E191">
        <v>14620571648</v>
      </c>
      <c r="F191">
        <v>43.9</v>
      </c>
      <c r="H191">
        <v>16.5</v>
      </c>
      <c r="J191">
        <v>50.3</v>
      </c>
      <c r="L191">
        <v>21.6</v>
      </c>
    </row>
    <row r="192" spans="1:12">
      <c r="A192" t="str">
        <f>"880637"</f>
        <v>880637</v>
      </c>
      <c r="B192" t="s">
        <v>203</v>
      </c>
      <c r="C192">
        <v>2.3</v>
      </c>
      <c r="D192">
        <v>1427.97</v>
      </c>
      <c r="E192">
        <v>10595890176</v>
      </c>
      <c r="F192">
        <v>30.8</v>
      </c>
      <c r="H192">
        <v>75.7</v>
      </c>
      <c r="J192">
        <v>35.6</v>
      </c>
      <c r="L192">
        <v>69.6</v>
      </c>
    </row>
    <row r="193" spans="1:12">
      <c r="A193" t="str">
        <f>"880651"</f>
        <v>880651</v>
      </c>
      <c r="B193" t="s">
        <v>204</v>
      </c>
      <c r="C193">
        <v>-1.55</v>
      </c>
      <c r="D193">
        <v>1427.83</v>
      </c>
      <c r="E193">
        <v>49197064192</v>
      </c>
      <c r="F193">
        <v>47.1</v>
      </c>
      <c r="H193">
        <v>25.7</v>
      </c>
      <c r="J193">
        <v>37</v>
      </c>
      <c r="L193">
        <v>14.2</v>
      </c>
    </row>
    <row r="194" spans="1:12">
      <c r="A194" t="str">
        <f>"880707"</f>
        <v>880707</v>
      </c>
      <c r="B194" t="s">
        <v>205</v>
      </c>
      <c r="C194">
        <v>-0.99</v>
      </c>
      <c r="D194">
        <v>1419.95</v>
      </c>
      <c r="E194">
        <v>17624795136</v>
      </c>
      <c r="F194">
        <v>9.8</v>
      </c>
      <c r="H194">
        <v>10.5</v>
      </c>
      <c r="J194">
        <v>23.7</v>
      </c>
      <c r="L194">
        <v>13.9</v>
      </c>
    </row>
    <row r="195" spans="1:12">
      <c r="A195" t="str">
        <f>"880605"</f>
        <v>880605</v>
      </c>
      <c r="B195" t="s">
        <v>206</v>
      </c>
      <c r="C195">
        <v>-0.71</v>
      </c>
      <c r="D195">
        <v>1401.12</v>
      </c>
      <c r="E195">
        <v>19973347328</v>
      </c>
      <c r="F195">
        <v>48.3</v>
      </c>
      <c r="H195">
        <v>24.7</v>
      </c>
      <c r="J195">
        <v>67.1</v>
      </c>
      <c r="L195">
        <v>26.5</v>
      </c>
    </row>
    <row r="196" spans="1:12">
      <c r="A196" t="str">
        <f>"880737"</f>
        <v>880737</v>
      </c>
      <c r="B196" t="s">
        <v>207</v>
      </c>
      <c r="C196">
        <v>0.01</v>
      </c>
      <c r="D196">
        <v>1397.04</v>
      </c>
      <c r="E196">
        <v>53991596032</v>
      </c>
      <c r="F196">
        <v>91.1</v>
      </c>
      <c r="G196">
        <v>91.1</v>
      </c>
      <c r="H196">
        <v>90.8</v>
      </c>
      <c r="I196">
        <v>90.8</v>
      </c>
      <c r="J196">
        <v>97.9</v>
      </c>
      <c r="K196">
        <v>97.9</v>
      </c>
      <c r="L196">
        <v>70.6</v>
      </c>
    </row>
    <row r="197" spans="1:12">
      <c r="A197" t="str">
        <f>"880644"</f>
        <v>880644</v>
      </c>
      <c r="B197" t="s">
        <v>208</v>
      </c>
      <c r="C197">
        <v>0.12</v>
      </c>
      <c r="D197">
        <v>1386.8</v>
      </c>
      <c r="E197">
        <v>4319323648</v>
      </c>
      <c r="F197">
        <v>13</v>
      </c>
      <c r="H197">
        <v>14.9</v>
      </c>
      <c r="J197">
        <v>0.6</v>
      </c>
      <c r="L197">
        <v>40.3</v>
      </c>
    </row>
    <row r="198" spans="1:13">
      <c r="A198" t="str">
        <f>"880535"</f>
        <v>880535</v>
      </c>
      <c r="B198" t="s">
        <v>209</v>
      </c>
      <c r="C198">
        <v>0.99</v>
      </c>
      <c r="D198">
        <v>1385.65</v>
      </c>
      <c r="E198">
        <v>69897437184</v>
      </c>
      <c r="F198">
        <v>73.1</v>
      </c>
      <c r="H198">
        <v>78.7</v>
      </c>
      <c r="J198">
        <v>87.6</v>
      </c>
      <c r="L198">
        <v>95.1</v>
      </c>
      <c r="M198">
        <v>95.1</v>
      </c>
    </row>
    <row r="199" spans="1:13">
      <c r="A199" t="str">
        <f>"880668"</f>
        <v>880668</v>
      </c>
      <c r="B199" t="s">
        <v>210</v>
      </c>
      <c r="C199">
        <v>-1.64</v>
      </c>
      <c r="D199">
        <v>1385.49</v>
      </c>
      <c r="E199">
        <v>17072496640</v>
      </c>
      <c r="F199">
        <v>35.2</v>
      </c>
      <c r="H199">
        <v>69.8</v>
      </c>
      <c r="J199">
        <v>35.4</v>
      </c>
      <c r="L199">
        <v>90.9</v>
      </c>
      <c r="M199">
        <v>90.9</v>
      </c>
    </row>
    <row r="200" spans="1:12">
      <c r="A200" t="str">
        <f>"880684"</f>
        <v>880684</v>
      </c>
      <c r="B200" t="s">
        <v>211</v>
      </c>
      <c r="C200">
        <v>0.39</v>
      </c>
      <c r="D200">
        <v>1385.46</v>
      </c>
      <c r="E200">
        <v>53416226816</v>
      </c>
      <c r="F200">
        <v>96.2</v>
      </c>
      <c r="G200">
        <v>96.2</v>
      </c>
      <c r="H200">
        <v>95.3</v>
      </c>
      <c r="I200">
        <v>95.3</v>
      </c>
      <c r="J200">
        <v>99.5</v>
      </c>
      <c r="K200">
        <v>99.5</v>
      </c>
      <c r="L200">
        <v>85.7</v>
      </c>
    </row>
    <row r="201" spans="1:12">
      <c r="A201" t="str">
        <f>"880765"</f>
        <v>880765</v>
      </c>
      <c r="B201" t="s">
        <v>212</v>
      </c>
      <c r="C201">
        <v>0.28</v>
      </c>
      <c r="D201">
        <v>1383.53</v>
      </c>
      <c r="E201">
        <v>41102675968</v>
      </c>
      <c r="F201">
        <v>64.4</v>
      </c>
      <c r="H201">
        <v>87.1</v>
      </c>
      <c r="J201">
        <v>82.9</v>
      </c>
      <c r="L201">
        <v>50.5</v>
      </c>
    </row>
    <row r="202" spans="1:12">
      <c r="A202" t="str">
        <f>"880502"</f>
        <v>880502</v>
      </c>
      <c r="B202" t="s">
        <v>213</v>
      </c>
      <c r="C202">
        <v>-0.8</v>
      </c>
      <c r="D202">
        <v>1378.66</v>
      </c>
      <c r="E202">
        <v>15210044416</v>
      </c>
      <c r="F202">
        <v>13.7</v>
      </c>
      <c r="H202">
        <v>12.8</v>
      </c>
      <c r="J202">
        <v>34.7</v>
      </c>
      <c r="L202">
        <v>16.5</v>
      </c>
    </row>
    <row r="203" spans="1:12">
      <c r="A203" t="str">
        <f>"880602"</f>
        <v>880602</v>
      </c>
      <c r="B203" t="s">
        <v>214</v>
      </c>
      <c r="C203">
        <v>-1.73</v>
      </c>
      <c r="D203">
        <v>1374.09</v>
      </c>
      <c r="E203">
        <v>18190123008</v>
      </c>
      <c r="F203">
        <v>47.4</v>
      </c>
      <c r="H203">
        <v>13.5</v>
      </c>
      <c r="J203">
        <v>15.6</v>
      </c>
      <c r="L203">
        <v>2</v>
      </c>
    </row>
    <row r="204" spans="1:12">
      <c r="A204" t="str">
        <f>"880530"</f>
        <v>880530</v>
      </c>
      <c r="B204" t="s">
        <v>215</v>
      </c>
      <c r="C204">
        <v>-0.8</v>
      </c>
      <c r="D204">
        <v>1371.64</v>
      </c>
      <c r="E204">
        <v>30224664576</v>
      </c>
      <c r="F204">
        <v>16.5</v>
      </c>
      <c r="H204">
        <v>19.1</v>
      </c>
      <c r="J204">
        <v>31</v>
      </c>
      <c r="L204">
        <v>24.9</v>
      </c>
    </row>
    <row r="205" spans="1:12">
      <c r="A205" t="str">
        <f>"880720"</f>
        <v>880720</v>
      </c>
      <c r="B205" t="s">
        <v>216</v>
      </c>
      <c r="C205">
        <v>0.23</v>
      </c>
      <c r="D205">
        <v>1368.64</v>
      </c>
      <c r="E205">
        <v>231834779648</v>
      </c>
      <c r="F205">
        <v>55.6</v>
      </c>
      <c r="H205">
        <v>68.9</v>
      </c>
      <c r="J205">
        <v>46.1</v>
      </c>
      <c r="L205">
        <v>77.1</v>
      </c>
    </row>
    <row r="206" spans="1:12">
      <c r="A206" t="str">
        <f>"880914"</f>
        <v>880914</v>
      </c>
      <c r="B206" t="s">
        <v>217</v>
      </c>
      <c r="C206">
        <v>0.83</v>
      </c>
      <c r="D206">
        <v>1364.82</v>
      </c>
      <c r="E206">
        <v>13273401344</v>
      </c>
      <c r="F206">
        <v>16.8</v>
      </c>
      <c r="H206">
        <v>74.7</v>
      </c>
      <c r="J206">
        <v>10.2</v>
      </c>
      <c r="L206">
        <v>29.3</v>
      </c>
    </row>
    <row r="207" spans="1:12">
      <c r="A207" t="str">
        <f>"880615"</f>
        <v>880615</v>
      </c>
      <c r="B207" t="s">
        <v>218</v>
      </c>
      <c r="C207">
        <v>-0.4</v>
      </c>
      <c r="D207">
        <v>1364.32</v>
      </c>
      <c r="E207">
        <v>15383204864</v>
      </c>
      <c r="F207">
        <v>44.6</v>
      </c>
      <c r="H207">
        <v>18.4</v>
      </c>
      <c r="J207">
        <v>6.9</v>
      </c>
      <c r="L207">
        <v>25.1</v>
      </c>
    </row>
    <row r="208" spans="1:12">
      <c r="A208" t="str">
        <f>"880743"</f>
        <v>880743</v>
      </c>
      <c r="B208" t="s">
        <v>219</v>
      </c>
      <c r="C208">
        <v>-1.15</v>
      </c>
      <c r="D208">
        <v>1363.17</v>
      </c>
      <c r="E208">
        <v>42076196864</v>
      </c>
      <c r="F208">
        <v>44.3</v>
      </c>
      <c r="H208">
        <v>22.1</v>
      </c>
      <c r="J208">
        <v>57.8</v>
      </c>
      <c r="L208">
        <v>13</v>
      </c>
    </row>
    <row r="209" spans="1:12">
      <c r="A209" t="str">
        <f>"880727"</f>
        <v>880727</v>
      </c>
      <c r="B209" t="s">
        <v>220</v>
      </c>
      <c r="C209">
        <v>-0.06</v>
      </c>
      <c r="D209">
        <v>1357.86</v>
      </c>
      <c r="E209">
        <v>32862369792</v>
      </c>
      <c r="F209">
        <v>88.5</v>
      </c>
      <c r="H209">
        <v>41.5</v>
      </c>
      <c r="J209">
        <v>55.4</v>
      </c>
      <c r="L209">
        <v>72.7</v>
      </c>
    </row>
    <row r="210" spans="1:13">
      <c r="A210" t="str">
        <f>"880657"</f>
        <v>880657</v>
      </c>
      <c r="B210" t="s">
        <v>221</v>
      </c>
      <c r="C210">
        <v>0.57</v>
      </c>
      <c r="D210">
        <v>1344.66</v>
      </c>
      <c r="E210">
        <v>18409601024</v>
      </c>
      <c r="F210">
        <v>61.4</v>
      </c>
      <c r="H210">
        <v>72.8</v>
      </c>
      <c r="J210">
        <v>48.7</v>
      </c>
      <c r="L210">
        <v>97.9</v>
      </c>
      <c r="M210">
        <v>97.9</v>
      </c>
    </row>
    <row r="211" spans="1:12">
      <c r="A211" t="str">
        <f>"880972"</f>
        <v>880972</v>
      </c>
      <c r="B211" t="s">
        <v>222</v>
      </c>
      <c r="C211">
        <v>0.38</v>
      </c>
      <c r="D211">
        <v>1343.32</v>
      </c>
      <c r="E211">
        <v>61623312384</v>
      </c>
      <c r="F211">
        <v>63.5</v>
      </c>
      <c r="H211">
        <v>65.8</v>
      </c>
      <c r="J211">
        <v>64.5</v>
      </c>
      <c r="L211">
        <v>44</v>
      </c>
    </row>
    <row r="212" spans="1:12">
      <c r="A212" t="str">
        <f>"880971"</f>
        <v>880971</v>
      </c>
      <c r="B212" t="s">
        <v>223</v>
      </c>
      <c r="C212">
        <v>-0.46</v>
      </c>
      <c r="D212">
        <v>1337.98</v>
      </c>
      <c r="E212">
        <v>15491661824</v>
      </c>
      <c r="F212">
        <v>45.5</v>
      </c>
      <c r="H212">
        <v>45.3</v>
      </c>
      <c r="J212">
        <v>71.7</v>
      </c>
      <c r="L212">
        <v>62.9</v>
      </c>
    </row>
    <row r="213" spans="1:12">
      <c r="A213" t="str">
        <f>"880747"</f>
        <v>880747</v>
      </c>
      <c r="B213" t="s">
        <v>224</v>
      </c>
      <c r="C213">
        <v>-0.09</v>
      </c>
      <c r="D213">
        <v>1337.55</v>
      </c>
      <c r="E213">
        <v>39443492864</v>
      </c>
      <c r="F213">
        <v>12.1</v>
      </c>
      <c r="H213">
        <v>23.3</v>
      </c>
      <c r="J213">
        <v>2.7</v>
      </c>
      <c r="L213">
        <v>32.8</v>
      </c>
    </row>
    <row r="214" spans="1:12">
      <c r="A214" t="str">
        <f>"880617"</f>
        <v>880617</v>
      </c>
      <c r="B214" t="s">
        <v>225</v>
      </c>
      <c r="C214">
        <v>-1.72</v>
      </c>
      <c r="D214">
        <v>1337.02</v>
      </c>
      <c r="E214">
        <v>91745181696</v>
      </c>
      <c r="F214">
        <v>35.5</v>
      </c>
      <c r="H214">
        <v>37.8</v>
      </c>
      <c r="J214">
        <v>47.3</v>
      </c>
      <c r="L214">
        <v>35.4</v>
      </c>
    </row>
    <row r="215" spans="1:12">
      <c r="A215" t="str">
        <f>"880742"</f>
        <v>880742</v>
      </c>
      <c r="B215" t="s">
        <v>226</v>
      </c>
      <c r="C215">
        <v>0.19</v>
      </c>
      <c r="D215">
        <v>1336.15</v>
      </c>
      <c r="E215">
        <v>166979174400</v>
      </c>
      <c r="F215">
        <v>85.9</v>
      </c>
      <c r="H215">
        <v>39.9</v>
      </c>
      <c r="J215">
        <v>65.9</v>
      </c>
      <c r="L215">
        <v>81.8</v>
      </c>
    </row>
    <row r="216" spans="1:12">
      <c r="A216" t="str">
        <f>"880614"</f>
        <v>880614</v>
      </c>
      <c r="B216" t="s">
        <v>227</v>
      </c>
      <c r="C216">
        <v>-1.01</v>
      </c>
      <c r="D216">
        <v>1333.44</v>
      </c>
      <c r="E216">
        <v>21553242112</v>
      </c>
      <c r="F216">
        <v>67.9</v>
      </c>
      <c r="H216">
        <v>54.9</v>
      </c>
      <c r="J216">
        <v>89</v>
      </c>
      <c r="L216">
        <v>34</v>
      </c>
    </row>
    <row r="217" spans="1:12">
      <c r="A217" t="str">
        <f>"880734"</f>
        <v>880734</v>
      </c>
      <c r="B217" t="s">
        <v>228</v>
      </c>
      <c r="C217">
        <v>0.82</v>
      </c>
      <c r="D217">
        <v>1331.04</v>
      </c>
      <c r="E217">
        <v>8816166912</v>
      </c>
      <c r="F217">
        <v>85.7</v>
      </c>
      <c r="H217">
        <v>80.3</v>
      </c>
      <c r="J217">
        <v>77.6</v>
      </c>
      <c r="L217">
        <v>48</v>
      </c>
    </row>
    <row r="218" spans="1:12">
      <c r="A218" t="str">
        <f>"880709"</f>
        <v>880709</v>
      </c>
      <c r="B218" t="s">
        <v>229</v>
      </c>
      <c r="C218">
        <v>-1.62</v>
      </c>
      <c r="D218">
        <v>1318.22</v>
      </c>
      <c r="E218">
        <v>5264377856</v>
      </c>
      <c r="F218">
        <v>38.3</v>
      </c>
      <c r="H218">
        <v>31.3</v>
      </c>
      <c r="J218">
        <v>59.6</v>
      </c>
      <c r="L218">
        <v>14.9</v>
      </c>
    </row>
    <row r="219" spans="1:12">
      <c r="A219" t="str">
        <f>"880767"</f>
        <v>880767</v>
      </c>
      <c r="B219" t="s">
        <v>230</v>
      </c>
      <c r="C219">
        <v>0.77</v>
      </c>
      <c r="D219">
        <v>1317.55</v>
      </c>
      <c r="E219">
        <v>7381739008</v>
      </c>
      <c r="F219">
        <v>40.8</v>
      </c>
      <c r="H219">
        <v>65.6</v>
      </c>
      <c r="J219">
        <v>75.9</v>
      </c>
      <c r="L219">
        <v>88.8</v>
      </c>
    </row>
    <row r="220" spans="1:12">
      <c r="A220" t="str">
        <f>"880942"</f>
        <v>880942</v>
      </c>
      <c r="B220" t="s">
        <v>231</v>
      </c>
      <c r="C220">
        <v>0.07</v>
      </c>
      <c r="D220">
        <v>1305.4</v>
      </c>
      <c r="E220">
        <v>197208227840</v>
      </c>
      <c r="F220">
        <v>56.5</v>
      </c>
      <c r="H220">
        <v>64.9</v>
      </c>
      <c r="J220">
        <v>51.5</v>
      </c>
      <c r="L220">
        <v>78</v>
      </c>
    </row>
    <row r="221" spans="1:12">
      <c r="A221" t="str">
        <f>"880960"</f>
        <v>880960</v>
      </c>
      <c r="B221" t="s">
        <v>232</v>
      </c>
      <c r="C221">
        <v>-0.98</v>
      </c>
      <c r="D221">
        <v>1303.75</v>
      </c>
      <c r="E221">
        <v>17053437952</v>
      </c>
      <c r="F221">
        <v>2.1</v>
      </c>
      <c r="H221">
        <v>3.9</v>
      </c>
      <c r="J221">
        <v>13.2</v>
      </c>
      <c r="L221">
        <v>18.4</v>
      </c>
    </row>
    <row r="222" spans="1:12">
      <c r="A222" t="str">
        <f>"880623"</f>
        <v>880623</v>
      </c>
      <c r="B222" t="s">
        <v>233</v>
      </c>
      <c r="C222">
        <v>-0.8</v>
      </c>
      <c r="D222">
        <v>1303.69</v>
      </c>
      <c r="E222">
        <v>19537797120</v>
      </c>
      <c r="F222">
        <v>5.1</v>
      </c>
      <c r="H222">
        <v>4.6</v>
      </c>
      <c r="J222">
        <v>15.1</v>
      </c>
      <c r="L222">
        <v>23.5</v>
      </c>
    </row>
    <row r="223" spans="1:12">
      <c r="A223" t="str">
        <f>"880667"</f>
        <v>880667</v>
      </c>
      <c r="B223" t="s">
        <v>234</v>
      </c>
      <c r="C223">
        <v>0.38</v>
      </c>
      <c r="D223">
        <v>1302.63</v>
      </c>
      <c r="E223">
        <v>201393307648</v>
      </c>
      <c r="F223">
        <v>29.4</v>
      </c>
      <c r="H223">
        <v>51.1</v>
      </c>
      <c r="J223">
        <v>17.7</v>
      </c>
      <c r="L223">
        <v>68.2</v>
      </c>
    </row>
    <row r="224" spans="1:12">
      <c r="A224" t="str">
        <f>"880912"</f>
        <v>880912</v>
      </c>
      <c r="B224" t="s">
        <v>235</v>
      </c>
      <c r="C224">
        <v>0.37</v>
      </c>
      <c r="D224">
        <v>1290.35</v>
      </c>
      <c r="E224">
        <v>10777998336</v>
      </c>
      <c r="F224">
        <v>38.5</v>
      </c>
      <c r="H224">
        <v>83.1</v>
      </c>
      <c r="J224">
        <v>39.6</v>
      </c>
      <c r="L224">
        <v>46.3</v>
      </c>
    </row>
    <row r="225" spans="1:12">
      <c r="A225" t="str">
        <f>"880631"</f>
        <v>880631</v>
      </c>
      <c r="B225" t="s">
        <v>236</v>
      </c>
      <c r="C225">
        <v>0.69</v>
      </c>
      <c r="D225">
        <v>1288.82</v>
      </c>
      <c r="E225">
        <v>15848681472</v>
      </c>
      <c r="F225">
        <v>35.7</v>
      </c>
      <c r="H225">
        <v>35</v>
      </c>
      <c r="J225">
        <v>53.3</v>
      </c>
      <c r="L225">
        <v>55.4</v>
      </c>
    </row>
    <row r="226" spans="1:12">
      <c r="A226" t="str">
        <f>"880642"</f>
        <v>880642</v>
      </c>
      <c r="B226" t="s">
        <v>237</v>
      </c>
      <c r="C226">
        <v>-0.53</v>
      </c>
      <c r="D226">
        <v>1287.84</v>
      </c>
      <c r="E226">
        <v>5341618176</v>
      </c>
      <c r="F226">
        <v>46.4</v>
      </c>
      <c r="H226">
        <v>32</v>
      </c>
      <c r="J226">
        <v>60.8</v>
      </c>
      <c r="L226">
        <v>26.8</v>
      </c>
    </row>
    <row r="227" spans="1:12">
      <c r="A227" t="str">
        <f>"880585"</f>
        <v>880585</v>
      </c>
      <c r="B227" t="s">
        <v>238</v>
      </c>
      <c r="C227">
        <v>-1.04</v>
      </c>
      <c r="D227">
        <v>1285.64</v>
      </c>
      <c r="E227">
        <v>3155582976</v>
      </c>
      <c r="F227">
        <v>88.3</v>
      </c>
      <c r="H227">
        <v>28.5</v>
      </c>
      <c r="J227">
        <v>85.7</v>
      </c>
      <c r="L227">
        <v>24.7</v>
      </c>
    </row>
    <row r="228" spans="1:12">
      <c r="A228" t="str">
        <f>"880959"</f>
        <v>880959</v>
      </c>
      <c r="B228" t="s">
        <v>239</v>
      </c>
      <c r="C228">
        <v>-1.02</v>
      </c>
      <c r="D228">
        <v>1284.77</v>
      </c>
      <c r="E228">
        <v>30570563584</v>
      </c>
      <c r="F228">
        <v>33.8</v>
      </c>
      <c r="H228">
        <v>55.6</v>
      </c>
      <c r="J228">
        <v>27</v>
      </c>
      <c r="L228">
        <v>84.6</v>
      </c>
    </row>
    <row r="229" spans="1:12">
      <c r="A229" t="str">
        <f>"880681"</f>
        <v>880681</v>
      </c>
      <c r="B229" t="s">
        <v>240</v>
      </c>
      <c r="C229">
        <v>-0.51</v>
      </c>
      <c r="D229">
        <v>1282.3</v>
      </c>
      <c r="E229">
        <v>13302637568</v>
      </c>
      <c r="F229">
        <v>5.8</v>
      </c>
      <c r="H229">
        <v>20.3</v>
      </c>
      <c r="J229">
        <v>5.8</v>
      </c>
      <c r="L229">
        <v>24.4</v>
      </c>
    </row>
    <row r="230" spans="1:12">
      <c r="A230" t="str">
        <f>"880516"</f>
        <v>880516</v>
      </c>
      <c r="B230" t="s">
        <v>241</v>
      </c>
      <c r="C230">
        <v>-0.61</v>
      </c>
      <c r="D230">
        <v>1274.32</v>
      </c>
      <c r="E230">
        <v>12237448192</v>
      </c>
      <c r="F230">
        <v>51.1</v>
      </c>
      <c r="H230">
        <v>10</v>
      </c>
      <c r="J230">
        <v>33.3</v>
      </c>
      <c r="L230">
        <v>16</v>
      </c>
    </row>
    <row r="231" spans="1:12">
      <c r="A231" t="str">
        <f>"880753"</f>
        <v>880753</v>
      </c>
      <c r="B231" t="s">
        <v>242</v>
      </c>
      <c r="C231">
        <v>0.31</v>
      </c>
      <c r="D231">
        <v>1273.26</v>
      </c>
      <c r="E231">
        <v>157646192640</v>
      </c>
      <c r="F231">
        <v>63.3</v>
      </c>
      <c r="H231">
        <v>45.7</v>
      </c>
      <c r="J231">
        <v>80.4</v>
      </c>
      <c r="L231">
        <v>48.2</v>
      </c>
    </row>
    <row r="232" spans="1:12">
      <c r="A232" t="str">
        <f>"880671"</f>
        <v>880671</v>
      </c>
      <c r="B232" t="s">
        <v>243</v>
      </c>
      <c r="C232">
        <v>-0.18</v>
      </c>
      <c r="D232">
        <v>1263.56</v>
      </c>
      <c r="E232">
        <v>103034658816</v>
      </c>
      <c r="F232">
        <v>40.1</v>
      </c>
      <c r="H232">
        <v>36.4</v>
      </c>
      <c r="J232">
        <v>63.1</v>
      </c>
      <c r="L232">
        <v>30</v>
      </c>
    </row>
    <row r="233" spans="1:12">
      <c r="A233" t="str">
        <f>"880794"</f>
        <v>880794</v>
      </c>
      <c r="B233" t="s">
        <v>244</v>
      </c>
      <c r="C233">
        <v>0.58</v>
      </c>
      <c r="D233">
        <v>1261.75</v>
      </c>
      <c r="E233">
        <v>22177710080</v>
      </c>
      <c r="F233">
        <v>19.8</v>
      </c>
      <c r="H233">
        <v>42.9</v>
      </c>
      <c r="J233">
        <v>6.2</v>
      </c>
      <c r="L233">
        <v>58</v>
      </c>
    </row>
    <row r="234" spans="1:12">
      <c r="A234" t="str">
        <f>"880624"</f>
        <v>880624</v>
      </c>
      <c r="B234" t="s">
        <v>245</v>
      </c>
      <c r="C234">
        <v>-0.75</v>
      </c>
      <c r="D234">
        <v>1248.27</v>
      </c>
      <c r="E234">
        <v>37674758144</v>
      </c>
      <c r="F234">
        <v>39.4</v>
      </c>
      <c r="H234">
        <v>26.1</v>
      </c>
      <c r="J234">
        <v>47</v>
      </c>
      <c r="L234">
        <v>25.6</v>
      </c>
    </row>
    <row r="235" spans="1:12">
      <c r="A235" t="str">
        <f>"880949"</f>
        <v>880949</v>
      </c>
      <c r="B235" t="s">
        <v>246</v>
      </c>
      <c r="C235">
        <v>0.22</v>
      </c>
      <c r="D235">
        <v>1245.04</v>
      </c>
      <c r="E235">
        <v>156687646720</v>
      </c>
      <c r="F235">
        <v>26.4</v>
      </c>
      <c r="H235">
        <v>39</v>
      </c>
      <c r="J235">
        <v>25.4</v>
      </c>
      <c r="L235">
        <v>51</v>
      </c>
    </row>
    <row r="236" spans="1:12">
      <c r="A236" t="str">
        <f>"880725"</f>
        <v>880725</v>
      </c>
      <c r="B236" t="s">
        <v>247</v>
      </c>
      <c r="C236">
        <v>0.3</v>
      </c>
      <c r="D236">
        <v>1242.59</v>
      </c>
      <c r="E236">
        <v>58957381632</v>
      </c>
      <c r="F236">
        <v>79.2</v>
      </c>
      <c r="H236">
        <v>88.3</v>
      </c>
      <c r="J236">
        <v>85</v>
      </c>
      <c r="L236">
        <v>52.6</v>
      </c>
    </row>
    <row r="237" spans="1:12">
      <c r="A237" t="str">
        <f>"880759"</f>
        <v>880759</v>
      </c>
      <c r="B237" t="s">
        <v>248</v>
      </c>
      <c r="C237">
        <v>1</v>
      </c>
      <c r="D237">
        <v>1238.93</v>
      </c>
      <c r="E237">
        <v>37615034368</v>
      </c>
      <c r="F237">
        <v>39.7</v>
      </c>
      <c r="H237">
        <v>50</v>
      </c>
      <c r="J237">
        <v>57.1</v>
      </c>
      <c r="L237">
        <v>68</v>
      </c>
    </row>
    <row r="238" spans="1:12">
      <c r="A238" t="str">
        <f>"880791"</f>
        <v>880791</v>
      </c>
      <c r="B238" t="s">
        <v>249</v>
      </c>
      <c r="C238">
        <v>-1.38</v>
      </c>
      <c r="D238">
        <v>1234.59</v>
      </c>
      <c r="E238">
        <v>64271855616</v>
      </c>
      <c r="F238">
        <v>38</v>
      </c>
      <c r="H238">
        <v>35.9</v>
      </c>
      <c r="J238">
        <v>31.4</v>
      </c>
      <c r="L238">
        <v>7.9</v>
      </c>
    </row>
    <row r="239" spans="1:12">
      <c r="A239" t="str">
        <f>"880652"</f>
        <v>880652</v>
      </c>
      <c r="B239" t="s">
        <v>250</v>
      </c>
      <c r="C239">
        <v>-0.87</v>
      </c>
      <c r="D239">
        <v>1220.49</v>
      </c>
      <c r="E239">
        <v>50478702592</v>
      </c>
      <c r="F239">
        <v>4.2</v>
      </c>
      <c r="H239">
        <v>9.3</v>
      </c>
      <c r="J239">
        <v>15.3</v>
      </c>
      <c r="L239">
        <v>25.8</v>
      </c>
    </row>
    <row r="240" spans="1:12">
      <c r="A240" t="str">
        <f>"880741"</f>
        <v>880741</v>
      </c>
      <c r="B240" t="s">
        <v>251</v>
      </c>
      <c r="C240">
        <v>-0.62</v>
      </c>
      <c r="D240">
        <v>1212.63</v>
      </c>
      <c r="E240">
        <v>4849597952</v>
      </c>
      <c r="F240">
        <v>28.9</v>
      </c>
      <c r="H240">
        <v>55.8</v>
      </c>
      <c r="J240">
        <v>76.2</v>
      </c>
      <c r="L240">
        <v>43.3</v>
      </c>
    </row>
    <row r="241" spans="1:12">
      <c r="A241" t="str">
        <f>"880973"</f>
        <v>880973</v>
      </c>
      <c r="B241" t="s">
        <v>252</v>
      </c>
      <c r="C241">
        <v>-0.81</v>
      </c>
      <c r="D241">
        <v>1207.67</v>
      </c>
      <c r="E241">
        <v>21090467840</v>
      </c>
      <c r="F241">
        <v>17</v>
      </c>
      <c r="H241">
        <v>13</v>
      </c>
      <c r="J241">
        <v>21.4</v>
      </c>
      <c r="L241">
        <v>21.4</v>
      </c>
    </row>
    <row r="242" spans="1:12">
      <c r="A242" t="str">
        <f>"880760"</f>
        <v>880760</v>
      </c>
      <c r="B242" t="s">
        <v>253</v>
      </c>
      <c r="C242">
        <v>-1.89</v>
      </c>
      <c r="D242">
        <v>1200.32</v>
      </c>
      <c r="E242">
        <v>19256039424</v>
      </c>
      <c r="F242">
        <v>23.3</v>
      </c>
      <c r="H242">
        <v>10.2</v>
      </c>
      <c r="J242">
        <v>25.1</v>
      </c>
      <c r="L242">
        <v>3</v>
      </c>
    </row>
    <row r="243" spans="1:12">
      <c r="A243" t="str">
        <f>"880639"</f>
        <v>880639</v>
      </c>
      <c r="B243" t="s">
        <v>254</v>
      </c>
      <c r="C243">
        <v>1.54</v>
      </c>
      <c r="D243">
        <v>1199.85</v>
      </c>
      <c r="E243">
        <v>22598047744</v>
      </c>
      <c r="F243">
        <v>67</v>
      </c>
      <c r="H243">
        <v>57.4</v>
      </c>
      <c r="J243">
        <v>91.1</v>
      </c>
      <c r="K243">
        <v>91.1</v>
      </c>
      <c r="L243">
        <v>85</v>
      </c>
    </row>
    <row r="244" spans="1:12">
      <c r="A244" t="str">
        <f>"880946"</f>
        <v>880946</v>
      </c>
      <c r="B244" t="s">
        <v>255</v>
      </c>
      <c r="C244">
        <v>0.16</v>
      </c>
      <c r="D244">
        <v>1197.39</v>
      </c>
      <c r="E244">
        <v>187055751168</v>
      </c>
      <c r="F244">
        <v>24</v>
      </c>
      <c r="H244">
        <v>39.4</v>
      </c>
      <c r="J244">
        <v>16.5</v>
      </c>
      <c r="L244">
        <v>60.6</v>
      </c>
    </row>
    <row r="245" spans="1:12">
      <c r="A245" t="str">
        <f>"880956"</f>
        <v>880956</v>
      </c>
      <c r="B245" t="s">
        <v>256</v>
      </c>
      <c r="C245">
        <v>0.53</v>
      </c>
      <c r="D245">
        <v>1197.18</v>
      </c>
      <c r="E245">
        <v>258560983040</v>
      </c>
      <c r="F245">
        <v>45.7</v>
      </c>
      <c r="H245">
        <v>61.2</v>
      </c>
      <c r="J245">
        <v>30.7</v>
      </c>
      <c r="L245">
        <v>79.7</v>
      </c>
    </row>
    <row r="246" spans="1:12">
      <c r="A246" t="str">
        <f>"880634"</f>
        <v>880634</v>
      </c>
      <c r="B246" t="s">
        <v>257</v>
      </c>
      <c r="C246">
        <v>-0.13</v>
      </c>
      <c r="D246">
        <v>1191.54</v>
      </c>
      <c r="E246">
        <v>28505423872</v>
      </c>
      <c r="F246">
        <v>85.5</v>
      </c>
      <c r="H246">
        <v>60.2</v>
      </c>
      <c r="J246">
        <v>72.9</v>
      </c>
      <c r="L246">
        <v>55</v>
      </c>
    </row>
    <row r="247" spans="1:12">
      <c r="A247" t="str">
        <f>"880920"</f>
        <v>880920</v>
      </c>
      <c r="B247" t="s">
        <v>258</v>
      </c>
      <c r="C247">
        <v>-0.5</v>
      </c>
      <c r="D247">
        <v>1187.12</v>
      </c>
      <c r="E247">
        <v>10907646976</v>
      </c>
      <c r="F247">
        <v>10.2</v>
      </c>
      <c r="H247">
        <v>13.7</v>
      </c>
      <c r="J247">
        <v>8.1</v>
      </c>
      <c r="L247">
        <v>29.1</v>
      </c>
    </row>
    <row r="248" spans="1:12">
      <c r="A248" t="str">
        <f>"880758"</f>
        <v>880758</v>
      </c>
      <c r="B248" t="s">
        <v>259</v>
      </c>
      <c r="C248">
        <v>2.11</v>
      </c>
      <c r="D248">
        <v>1171.29</v>
      </c>
      <c r="E248">
        <v>107841732608</v>
      </c>
      <c r="F248">
        <v>78.9</v>
      </c>
      <c r="H248">
        <v>86.9</v>
      </c>
      <c r="J248">
        <v>82</v>
      </c>
      <c r="L248">
        <v>61.5</v>
      </c>
    </row>
    <row r="249" spans="1:12">
      <c r="A249" t="str">
        <f>"880655"</f>
        <v>880655</v>
      </c>
      <c r="B249" t="s">
        <v>260</v>
      </c>
      <c r="C249">
        <v>0.15</v>
      </c>
      <c r="D249">
        <v>1159.1</v>
      </c>
      <c r="E249">
        <v>69823438848</v>
      </c>
      <c r="F249">
        <v>91.3</v>
      </c>
      <c r="G249">
        <v>91.3</v>
      </c>
      <c r="H249">
        <v>92.5</v>
      </c>
      <c r="I249">
        <v>92.5</v>
      </c>
      <c r="J249">
        <v>96.7</v>
      </c>
      <c r="K249">
        <v>96.7</v>
      </c>
      <c r="L249">
        <v>55.9</v>
      </c>
    </row>
    <row r="250" spans="1:12">
      <c r="A250" t="str">
        <f>"880761"</f>
        <v>880761</v>
      </c>
      <c r="B250" t="s">
        <v>261</v>
      </c>
      <c r="C250">
        <v>0.45</v>
      </c>
      <c r="D250">
        <v>1151.26</v>
      </c>
      <c r="E250">
        <v>42927087616</v>
      </c>
      <c r="F250">
        <v>95.5</v>
      </c>
      <c r="G250">
        <v>95.5</v>
      </c>
      <c r="H250">
        <v>39.7</v>
      </c>
      <c r="J250">
        <v>48.4</v>
      </c>
      <c r="L250">
        <v>82.7</v>
      </c>
    </row>
    <row r="251" spans="1:12">
      <c r="A251" t="str">
        <f>"880618"</f>
        <v>880618</v>
      </c>
      <c r="B251" t="s">
        <v>262</v>
      </c>
      <c r="C251">
        <v>-0.84</v>
      </c>
      <c r="D251">
        <v>1138.61</v>
      </c>
      <c r="E251">
        <v>20673349632</v>
      </c>
      <c r="F251">
        <v>67.5</v>
      </c>
      <c r="H251">
        <v>37.1</v>
      </c>
      <c r="J251">
        <v>74.8</v>
      </c>
      <c r="L251">
        <v>48.9</v>
      </c>
    </row>
    <row r="252" spans="1:12">
      <c r="A252" t="str">
        <f>"880796"</f>
        <v>880796</v>
      </c>
      <c r="B252" t="s">
        <v>263</v>
      </c>
      <c r="C252">
        <v>-0.85</v>
      </c>
      <c r="D252">
        <v>1124.09</v>
      </c>
      <c r="E252">
        <v>4422846464</v>
      </c>
      <c r="F252">
        <v>29.6</v>
      </c>
      <c r="H252">
        <v>24.2</v>
      </c>
      <c r="J252">
        <v>59.9</v>
      </c>
      <c r="L252">
        <v>20.5</v>
      </c>
    </row>
    <row r="253" spans="1:12">
      <c r="A253" t="str">
        <f>"880755"</f>
        <v>880755</v>
      </c>
      <c r="B253" t="s">
        <v>264</v>
      </c>
      <c r="C253">
        <v>-0.17</v>
      </c>
      <c r="D253">
        <v>1121.42</v>
      </c>
      <c r="E253">
        <v>77851844608</v>
      </c>
      <c r="F253">
        <v>78.2</v>
      </c>
      <c r="H253">
        <v>21.2</v>
      </c>
      <c r="J253">
        <v>44.7</v>
      </c>
      <c r="L253">
        <v>67.5</v>
      </c>
    </row>
    <row r="254" spans="1:12">
      <c r="A254" t="str">
        <f>"880632"</f>
        <v>880632</v>
      </c>
      <c r="B254" t="s">
        <v>265</v>
      </c>
      <c r="C254">
        <v>0.08</v>
      </c>
      <c r="D254">
        <v>1104.78</v>
      </c>
      <c r="E254">
        <v>70030598144</v>
      </c>
      <c r="F254">
        <v>78</v>
      </c>
      <c r="H254">
        <v>30.3</v>
      </c>
      <c r="J254">
        <v>65.2</v>
      </c>
      <c r="L254">
        <v>76.2</v>
      </c>
    </row>
    <row r="255" spans="1:12">
      <c r="A255" t="str">
        <f>"880923"</f>
        <v>880923</v>
      </c>
      <c r="B255" t="s">
        <v>266</v>
      </c>
      <c r="C255">
        <v>-1.05</v>
      </c>
      <c r="D255">
        <v>1100.8</v>
      </c>
      <c r="E255">
        <v>8116661760</v>
      </c>
      <c r="F255">
        <v>58.1</v>
      </c>
      <c r="H255">
        <v>21</v>
      </c>
      <c r="J255">
        <v>39.1</v>
      </c>
      <c r="L255">
        <v>8.3</v>
      </c>
    </row>
    <row r="256" spans="1:12">
      <c r="A256" t="str">
        <f>"880606"</f>
        <v>880606</v>
      </c>
      <c r="B256" t="s">
        <v>267</v>
      </c>
      <c r="C256">
        <v>-0.69</v>
      </c>
      <c r="D256">
        <v>1094.94</v>
      </c>
      <c r="E256">
        <v>13451688960</v>
      </c>
      <c r="F256">
        <v>8.4</v>
      </c>
      <c r="H256">
        <v>20.7</v>
      </c>
      <c r="J256">
        <v>17.9</v>
      </c>
      <c r="L256">
        <v>20</v>
      </c>
    </row>
    <row r="257" spans="1:12">
      <c r="A257" t="str">
        <f>"880908"</f>
        <v>880908</v>
      </c>
      <c r="B257" t="s">
        <v>268</v>
      </c>
      <c r="C257">
        <v>-0.3</v>
      </c>
      <c r="D257">
        <v>1089.07</v>
      </c>
      <c r="E257">
        <v>54382919680</v>
      </c>
      <c r="F257">
        <v>30.6</v>
      </c>
      <c r="H257">
        <v>35.5</v>
      </c>
      <c r="J257">
        <v>29.3</v>
      </c>
      <c r="L257">
        <v>44.2</v>
      </c>
    </row>
    <row r="258" spans="1:12">
      <c r="A258" t="str">
        <f>"880939"</f>
        <v>880939</v>
      </c>
      <c r="B258" t="s">
        <v>269</v>
      </c>
      <c r="C258">
        <v>0.74</v>
      </c>
      <c r="D258">
        <v>1065.33</v>
      </c>
      <c r="E258">
        <v>224458620928</v>
      </c>
      <c r="F258">
        <v>53.7</v>
      </c>
      <c r="H258">
        <v>78</v>
      </c>
      <c r="J258">
        <v>42.8</v>
      </c>
      <c r="L258">
        <v>49.6</v>
      </c>
    </row>
    <row r="259" spans="1:12">
      <c r="A259" t="str">
        <f>"880649"</f>
        <v>880649</v>
      </c>
      <c r="B259" t="s">
        <v>270</v>
      </c>
      <c r="C259">
        <v>-0.85</v>
      </c>
      <c r="D259">
        <v>1053.08</v>
      </c>
      <c r="E259">
        <v>11951894528</v>
      </c>
      <c r="F259">
        <v>79.4</v>
      </c>
      <c r="H259">
        <v>70.7</v>
      </c>
      <c r="J259">
        <v>96.5</v>
      </c>
      <c r="K259">
        <v>96.5</v>
      </c>
      <c r="L259">
        <v>54</v>
      </c>
    </row>
    <row r="260" spans="1:12">
      <c r="A260" t="str">
        <f>"880766"</f>
        <v>880766</v>
      </c>
      <c r="B260" t="s">
        <v>271</v>
      </c>
      <c r="C260">
        <v>-0.99</v>
      </c>
      <c r="D260">
        <v>1010.15</v>
      </c>
      <c r="E260">
        <v>8603255808</v>
      </c>
      <c r="F260">
        <v>6.7</v>
      </c>
      <c r="H260">
        <v>6</v>
      </c>
      <c r="J260">
        <v>13</v>
      </c>
      <c r="L260">
        <v>22.6</v>
      </c>
    </row>
    <row r="261" spans="1:12">
      <c r="A261" t="str">
        <f>"880704"</f>
        <v>880704</v>
      </c>
      <c r="B261" t="s">
        <v>272</v>
      </c>
      <c r="C261">
        <v>-0.76</v>
      </c>
      <c r="D261">
        <v>998.88</v>
      </c>
      <c r="E261">
        <v>9681303552</v>
      </c>
      <c r="F261">
        <v>20</v>
      </c>
      <c r="H261">
        <v>20.5</v>
      </c>
      <c r="J261">
        <v>41</v>
      </c>
      <c r="L261">
        <v>28.4</v>
      </c>
    </row>
    <row r="262" spans="1:12">
      <c r="A262" t="str">
        <f>"880638"</f>
        <v>880638</v>
      </c>
      <c r="B262" t="s">
        <v>273</v>
      </c>
      <c r="C262">
        <v>0.56</v>
      </c>
      <c r="D262">
        <v>976.02</v>
      </c>
      <c r="E262">
        <v>57849380864</v>
      </c>
      <c r="F262">
        <v>94.8</v>
      </c>
      <c r="G262">
        <v>94.8</v>
      </c>
      <c r="H262">
        <v>89</v>
      </c>
      <c r="J262">
        <v>98.8</v>
      </c>
      <c r="K262">
        <v>98.8</v>
      </c>
      <c r="L262">
        <v>86</v>
      </c>
    </row>
    <row r="263" spans="1:13">
      <c r="A263" t="str">
        <f>"880706"</f>
        <v>880706</v>
      </c>
      <c r="B263" t="s">
        <v>274</v>
      </c>
      <c r="C263">
        <v>-0.79</v>
      </c>
      <c r="D263">
        <v>945.58</v>
      </c>
      <c r="E263">
        <v>10466937856</v>
      </c>
      <c r="F263">
        <v>84.8</v>
      </c>
      <c r="H263">
        <v>86.6</v>
      </c>
      <c r="J263">
        <v>99.7</v>
      </c>
      <c r="K263">
        <v>99.7</v>
      </c>
      <c r="L263">
        <v>99.5</v>
      </c>
      <c r="M263">
        <v>99.5</v>
      </c>
    </row>
    <row r="264" spans="1:12">
      <c r="A264" t="str">
        <f>"880529"</f>
        <v>880529</v>
      </c>
      <c r="B264" t="s">
        <v>275</v>
      </c>
      <c r="C264">
        <v>0.03</v>
      </c>
      <c r="D264">
        <v>944.31</v>
      </c>
      <c r="E264">
        <v>20914438144</v>
      </c>
      <c r="F264">
        <v>1.8</v>
      </c>
      <c r="H264">
        <v>2.3</v>
      </c>
      <c r="J264">
        <v>10.7</v>
      </c>
      <c r="L264">
        <v>27.5</v>
      </c>
    </row>
    <row r="265" spans="1:12">
      <c r="A265" t="str">
        <f>"880626"</f>
        <v>880626</v>
      </c>
      <c r="B265" t="s">
        <v>276</v>
      </c>
      <c r="C265">
        <v>-1.59</v>
      </c>
      <c r="D265">
        <v>918.37</v>
      </c>
      <c r="E265">
        <v>8449808896</v>
      </c>
      <c r="F265">
        <v>18.4</v>
      </c>
      <c r="H265">
        <v>12.6</v>
      </c>
      <c r="J265">
        <v>34</v>
      </c>
      <c r="L265">
        <v>6.5</v>
      </c>
    </row>
    <row r="266" spans="1:12">
      <c r="A266" t="str">
        <f>"880729"</f>
        <v>880729</v>
      </c>
      <c r="B266" t="s">
        <v>277</v>
      </c>
      <c r="C266">
        <v>-0.49</v>
      </c>
      <c r="D266">
        <v>913.02</v>
      </c>
      <c r="E266">
        <v>16498432000</v>
      </c>
      <c r="F266">
        <v>17.9</v>
      </c>
      <c r="H266">
        <v>28.9</v>
      </c>
      <c r="J266">
        <v>7.9</v>
      </c>
      <c r="L266">
        <v>27</v>
      </c>
    </row>
    <row r="267" spans="1:12">
      <c r="A267" t="str">
        <f>"880764"</f>
        <v>880764</v>
      </c>
      <c r="B267" t="s">
        <v>278</v>
      </c>
      <c r="C267">
        <v>-1.58</v>
      </c>
      <c r="D267">
        <v>908.94</v>
      </c>
      <c r="E267">
        <v>2985765632</v>
      </c>
      <c r="F267">
        <v>9.5</v>
      </c>
      <c r="H267">
        <v>4.2</v>
      </c>
      <c r="J267">
        <v>44</v>
      </c>
      <c r="L267">
        <v>5.5</v>
      </c>
    </row>
    <row r="268" spans="1:12">
      <c r="A268" t="str">
        <f>"880953"</f>
        <v>880953</v>
      </c>
      <c r="B268" t="s">
        <v>279</v>
      </c>
      <c r="C268">
        <v>-0.18</v>
      </c>
      <c r="D268">
        <v>843.56</v>
      </c>
      <c r="E268">
        <v>6255072256</v>
      </c>
      <c r="F268">
        <v>54.9</v>
      </c>
      <c r="H268">
        <v>27.3</v>
      </c>
      <c r="J268">
        <v>60.3</v>
      </c>
      <c r="L268">
        <v>19.1</v>
      </c>
    </row>
    <row r="269" spans="1:12">
      <c r="A269" t="str">
        <f>"880903"</f>
        <v>880903</v>
      </c>
      <c r="B269" t="s">
        <v>280</v>
      </c>
      <c r="C269">
        <v>-1.81</v>
      </c>
      <c r="D269">
        <v>680.23</v>
      </c>
      <c r="E269">
        <v>2309218048</v>
      </c>
      <c r="F269">
        <v>51.4</v>
      </c>
      <c r="H269">
        <v>21.4</v>
      </c>
      <c r="J269">
        <v>52.6</v>
      </c>
      <c r="L269">
        <v>11.6</v>
      </c>
    </row>
    <row r="270" spans="1:12">
      <c r="A270" t="str">
        <f>"880940"</f>
        <v>880940</v>
      </c>
      <c r="B270" t="s">
        <v>281</v>
      </c>
      <c r="C270">
        <v>-0.66</v>
      </c>
      <c r="D270">
        <v>592.06</v>
      </c>
      <c r="E270">
        <v>40674463744</v>
      </c>
      <c r="F270">
        <v>31</v>
      </c>
      <c r="H270">
        <v>12.1</v>
      </c>
      <c r="J270">
        <v>39.8</v>
      </c>
      <c r="L270">
        <v>27.9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概念_20260212_18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2026-02-28T08:15:57Z</dcterms:created>
  <dcterms:modified xsi:type="dcterms:W3CDTF">2026-02-28T08:16:31Z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