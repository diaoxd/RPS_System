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306_2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<sst xmlns="http://schemas.openxmlformats.org/spreadsheetml/2006/main" count="140" uniqueCount="140">
  <si>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</si>
  <si>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</si>
  <si>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</si>
  <si>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</si>
  <si>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</si>
  <si>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</si>
  <si>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</si>
  <si>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</si>
  <si>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</si>
  <si>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</si>
  <si>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</si>
  <si>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</si>
  <si>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</si>
  <si>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航天装备</t>
  </si>
  <si>
    <t>玻璃玻纤</t>
  </si>
  <si>
    <t>稀有金属</t>
  </si>
  <si>
    <t>油服工程</t>
  </si>
  <si>
    <t>贵金属</t>
  </si>
  <si>
    <t>电网设备</t>
  </si>
  <si>
    <t>其他发电设备</t>
  </si>
  <si>
    <t>综合类</t>
  </si>
  <si>
    <t>化纤</t>
  </si>
  <si>
    <t>产业互联网</t>
  </si>
  <si>
    <t>化学原料</t>
  </si>
  <si>
    <t>工业金属</t>
  </si>
  <si>
    <t>农用化工</t>
  </si>
  <si>
    <t>非金属材料</t>
  </si>
  <si>
    <t>风电设备</t>
  </si>
  <si>
    <t>油气开采</t>
  </si>
  <si>
    <t>军工电子</t>
  </si>
  <si>
    <t>航海装备</t>
  </si>
  <si>
    <t>环境监测</t>
  </si>
  <si>
    <t>通用设备</t>
  </si>
  <si>
    <t>自动化设备</t>
  </si>
  <si>
    <t>通信设备</t>
  </si>
  <si>
    <t>云服务</t>
  </si>
  <si>
    <t>专业工程</t>
  </si>
  <si>
    <t>化学制品</t>
  </si>
  <si>
    <t>航空装备</t>
  </si>
  <si>
    <t>冶钢原料</t>
  </si>
  <si>
    <t>体育</t>
  </si>
  <si>
    <t>专用设备</t>
  </si>
  <si>
    <t>特钢</t>
  </si>
  <si>
    <t>石油化工</t>
  </si>
  <si>
    <t>种植业</t>
  </si>
  <si>
    <t>航运港口</t>
  </si>
  <si>
    <t>塑料</t>
  </si>
  <si>
    <t>环保设备</t>
  </si>
  <si>
    <t>金属新材料</t>
  </si>
  <si>
    <t>光学光电</t>
  </si>
  <si>
    <t>元器件</t>
  </si>
  <si>
    <t>环境治理</t>
  </si>
  <si>
    <t>半导体</t>
  </si>
  <si>
    <t>煤炭开采</t>
  </si>
  <si>
    <t>包装印刷</t>
  </si>
  <si>
    <t>家电零部件</t>
  </si>
  <si>
    <t>广告营销</t>
  </si>
  <si>
    <t>能源金属</t>
  </si>
  <si>
    <t>燃气</t>
  </si>
  <si>
    <t>光伏设备</t>
  </si>
  <si>
    <t>装饰建材</t>
  </si>
  <si>
    <t>贸易</t>
  </si>
  <si>
    <t>汽车零部件</t>
  </si>
  <si>
    <t>装修装饰</t>
  </si>
  <si>
    <t>工程机械</t>
  </si>
  <si>
    <t>造纸</t>
  </si>
  <si>
    <t>专业服务</t>
  </si>
  <si>
    <t>电力</t>
  </si>
  <si>
    <t>基础建设</t>
  </si>
  <si>
    <t>普钢</t>
  </si>
  <si>
    <t>橡胶</t>
  </si>
  <si>
    <t>多元金融</t>
  </si>
  <si>
    <t>水泥</t>
  </si>
  <si>
    <t>饰品</t>
  </si>
  <si>
    <t>其他电子</t>
  </si>
  <si>
    <t>黑色家电</t>
  </si>
  <si>
    <t>动物保健</t>
  </si>
  <si>
    <t>焦炭加工</t>
  </si>
  <si>
    <t>电机制造</t>
  </si>
  <si>
    <t>医疗服务</t>
  </si>
  <si>
    <t>物流</t>
  </si>
  <si>
    <t>保险</t>
  </si>
  <si>
    <t>汽车服务</t>
  </si>
  <si>
    <t>地面兵装</t>
  </si>
  <si>
    <t>游戏</t>
  </si>
  <si>
    <t>调味品</t>
  </si>
  <si>
    <t>家居用品</t>
  </si>
  <si>
    <t>农产品加工</t>
  </si>
  <si>
    <t>水务</t>
  </si>
  <si>
    <t>轨交设备</t>
  </si>
  <si>
    <t>养殖业</t>
  </si>
  <si>
    <t>数字媒体</t>
  </si>
  <si>
    <t>通信工程</t>
  </si>
  <si>
    <t>医疗器械</t>
  </si>
  <si>
    <t>酒店餐饮</t>
  </si>
  <si>
    <t>商用车</t>
  </si>
  <si>
    <t>服装家纺</t>
  </si>
  <si>
    <t>休闲食品</t>
  </si>
  <si>
    <t>出版业</t>
  </si>
  <si>
    <t>旅游</t>
  </si>
  <si>
    <t>软件服务</t>
  </si>
  <si>
    <t>厨卫电器</t>
  </si>
  <si>
    <t>文娱用品</t>
  </si>
  <si>
    <t>地方性银行</t>
  </si>
  <si>
    <t>广播电视</t>
  </si>
  <si>
    <t>教育培训</t>
  </si>
  <si>
    <t>工程咨询服务</t>
  </si>
  <si>
    <t>IT设备</t>
  </si>
  <si>
    <t>纺织制造</t>
  </si>
  <si>
    <t>公路铁路</t>
  </si>
  <si>
    <t>饲料</t>
  </si>
  <si>
    <t>医药商业</t>
  </si>
  <si>
    <t>电子商务</t>
  </si>
  <si>
    <t>房屋建设</t>
  </si>
  <si>
    <t>食品加工</t>
  </si>
  <si>
    <t>日用化工</t>
  </si>
  <si>
    <t>房地产开发</t>
  </si>
  <si>
    <t>消费电子</t>
  </si>
  <si>
    <t>中药</t>
  </si>
  <si>
    <t>影视院线</t>
  </si>
  <si>
    <t>证券</t>
  </si>
  <si>
    <t>房产服务</t>
  </si>
  <si>
    <t>电池</t>
  </si>
  <si>
    <t>专业连锁</t>
  </si>
  <si>
    <t>摩托车及其他</t>
  </si>
  <si>
    <t>一般零售</t>
  </si>
  <si>
    <t>林业</t>
  </si>
  <si>
    <t>商业物业经营</t>
  </si>
  <si>
    <t>渔业</t>
  </si>
  <si>
    <t>医疗美容</t>
  </si>
  <si>
    <t>航空机场</t>
  </si>
  <si>
    <t>酿酒</t>
  </si>
  <si>
    <t>饮料乳品</t>
  </si>
  <si>
    <t>白色家电</t>
  </si>
  <si>
    <t>生物制品</t>
  </si>
  <si>
    <t>小家电</t>
  </si>
  <si>
    <t>化学制药</t>
  </si>
  <si>
    <t>乘用车</t>
  </si>
  <si>
    <t>全国性银行</t>
  </si>
  <si>
    <t>电信服务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</si>
</sst>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1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8" fillId="8" borderId="3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115" workbookViewId="0">
      <selection activeCell="D139" sqref="D139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"881289"</f>
        <v>881289</v>
      </c>
      <c r="B2" t="s">
        <v>13</v>
      </c>
      <c r="C2">
        <v>-0.04</v>
      </c>
      <c r="D2">
        <v>2678.31</v>
      </c>
      <c r="E2">
        <v>16410120192</v>
      </c>
      <c r="F2">
        <v>99.7</v>
      </c>
      <c r="G2">
        <v>99.7</v>
      </c>
      <c r="H2">
        <v>100</v>
      </c>
      <c r="I2">
        <v>100</v>
      </c>
      <c r="J2">
        <v>49.1</v>
      </c>
      <c r="L2">
        <v>90.6</v>
      </c>
      <c r="M2">
        <v>90.6</v>
      </c>
    </row>
    <row r="3" spans="1:12">
      <c r="A3" t="str">
        <f>"881094"</f>
        <v>881094</v>
      </c>
      <c r="B3" t="s">
        <v>14</v>
      </c>
      <c r="C3">
        <v>-2.7</v>
      </c>
      <c r="D3">
        <v>1465.53</v>
      </c>
      <c r="E3">
        <v>13696026624</v>
      </c>
      <c r="F3">
        <v>94.6</v>
      </c>
      <c r="G3">
        <v>94.6</v>
      </c>
      <c r="H3">
        <v>99.7</v>
      </c>
      <c r="I3">
        <v>99.7</v>
      </c>
      <c r="J3">
        <v>98.9</v>
      </c>
      <c r="K3">
        <v>98.9</v>
      </c>
      <c r="L3">
        <v>0.5</v>
      </c>
    </row>
    <row r="4" spans="1:12">
      <c r="A4" t="str">
        <f>"881082"</f>
        <v>881082</v>
      </c>
      <c r="B4" t="s">
        <v>15</v>
      </c>
      <c r="C4">
        <v>-1.2</v>
      </c>
      <c r="D4">
        <v>2003.36</v>
      </c>
      <c r="E4">
        <v>54538985472</v>
      </c>
      <c r="F4">
        <v>97.9</v>
      </c>
      <c r="G4">
        <v>97.9</v>
      </c>
      <c r="H4">
        <v>99.4</v>
      </c>
      <c r="I4">
        <v>99.4</v>
      </c>
      <c r="J4">
        <v>43.3</v>
      </c>
      <c r="L4">
        <v>4.7</v>
      </c>
    </row>
    <row r="5" spans="1:13">
      <c r="A5" t="str">
        <f>"881008"</f>
        <v>881008</v>
      </c>
      <c r="B5" t="s">
        <v>16</v>
      </c>
      <c r="C5">
        <v>-4.94</v>
      </c>
      <c r="D5">
        <v>1854.29</v>
      </c>
      <c r="E5">
        <v>18177292288</v>
      </c>
      <c r="F5">
        <v>97.4</v>
      </c>
      <c r="G5">
        <v>97.4</v>
      </c>
      <c r="H5">
        <v>98.9</v>
      </c>
      <c r="I5">
        <v>98.9</v>
      </c>
      <c r="J5">
        <v>95.4</v>
      </c>
      <c r="K5">
        <v>95.4</v>
      </c>
      <c r="L5">
        <v>99.7</v>
      </c>
      <c r="M5">
        <v>99.7</v>
      </c>
    </row>
    <row r="6" spans="1:12">
      <c r="A6" t="str">
        <f>"881075"</f>
        <v>881075</v>
      </c>
      <c r="B6" t="s">
        <v>17</v>
      </c>
      <c r="C6">
        <v>-0.9</v>
      </c>
      <c r="D6">
        <v>3242.78</v>
      </c>
      <c r="E6">
        <v>22471624704</v>
      </c>
      <c r="F6">
        <v>99.2</v>
      </c>
      <c r="G6">
        <v>99.2</v>
      </c>
      <c r="H6">
        <v>98.7</v>
      </c>
      <c r="I6">
        <v>98.7</v>
      </c>
      <c r="J6">
        <v>0.2</v>
      </c>
      <c r="L6">
        <v>75.8</v>
      </c>
    </row>
    <row r="7" spans="1:13">
      <c r="A7" t="str">
        <f>"881268"</f>
        <v>881268</v>
      </c>
      <c r="B7" t="s">
        <v>18</v>
      </c>
      <c r="C7">
        <v>1.91</v>
      </c>
      <c r="D7">
        <v>1552.75</v>
      </c>
      <c r="E7">
        <v>127313297408</v>
      </c>
      <c r="F7">
        <v>98.9</v>
      </c>
      <c r="G7">
        <v>98.9</v>
      </c>
      <c r="H7">
        <v>98.4</v>
      </c>
      <c r="I7">
        <v>98.4</v>
      </c>
      <c r="J7">
        <v>100</v>
      </c>
      <c r="K7">
        <v>100</v>
      </c>
      <c r="L7">
        <v>98.9</v>
      </c>
      <c r="M7">
        <v>98.9</v>
      </c>
    </row>
    <row r="8" spans="1:13">
      <c r="A8" t="str">
        <f>"881285"</f>
        <v>881285</v>
      </c>
      <c r="B8" t="s">
        <v>19</v>
      </c>
      <c r="C8">
        <v>2.02</v>
      </c>
      <c r="D8">
        <v>1900.74</v>
      </c>
      <c r="E8">
        <v>31613200384</v>
      </c>
      <c r="F8">
        <v>91.4</v>
      </c>
      <c r="G8">
        <v>91.4</v>
      </c>
      <c r="H8">
        <v>98.2</v>
      </c>
      <c r="I8">
        <v>98.2</v>
      </c>
      <c r="J8">
        <v>99.2</v>
      </c>
      <c r="K8">
        <v>99.2</v>
      </c>
      <c r="L8">
        <v>98.2</v>
      </c>
      <c r="M8">
        <v>98.2</v>
      </c>
    </row>
    <row r="9" spans="1:12">
      <c r="A9" t="str">
        <f>"881478"</f>
        <v>881478</v>
      </c>
      <c r="B9" t="s">
        <v>20</v>
      </c>
      <c r="C9">
        <v>1.53</v>
      </c>
      <c r="D9">
        <v>2070.8</v>
      </c>
      <c r="E9">
        <v>3200521472</v>
      </c>
      <c r="F9">
        <v>92.6</v>
      </c>
      <c r="G9">
        <v>92.6</v>
      </c>
      <c r="H9">
        <v>97.7</v>
      </c>
      <c r="I9">
        <v>97.7</v>
      </c>
      <c r="J9">
        <v>99.4</v>
      </c>
      <c r="K9">
        <v>99.4</v>
      </c>
      <c r="L9">
        <v>84.1</v>
      </c>
    </row>
    <row r="10" spans="1:12">
      <c r="A10" t="str">
        <f>"881019"</f>
        <v>881019</v>
      </c>
      <c r="B10" t="s">
        <v>21</v>
      </c>
      <c r="C10">
        <v>0.1</v>
      </c>
      <c r="D10">
        <v>1010.72</v>
      </c>
      <c r="E10">
        <v>10974842880</v>
      </c>
      <c r="F10">
        <v>92.9</v>
      </c>
      <c r="G10">
        <v>92.9</v>
      </c>
      <c r="H10">
        <v>96.9</v>
      </c>
      <c r="I10">
        <v>96.9</v>
      </c>
      <c r="J10">
        <v>43</v>
      </c>
      <c r="L10">
        <v>49.6</v>
      </c>
    </row>
    <row r="11" spans="1:12">
      <c r="A11" t="str">
        <f>"881364"</f>
        <v>881364</v>
      </c>
      <c r="B11" t="s">
        <v>22</v>
      </c>
      <c r="C11">
        <v>1.76</v>
      </c>
      <c r="D11">
        <v>1461.72</v>
      </c>
      <c r="E11">
        <v>10748318720</v>
      </c>
      <c r="F11">
        <v>64.1</v>
      </c>
      <c r="H11">
        <v>96.4</v>
      </c>
      <c r="I11">
        <v>96.4</v>
      </c>
      <c r="J11">
        <v>41</v>
      </c>
      <c r="L11">
        <v>48.1</v>
      </c>
    </row>
    <row r="12" spans="1:13">
      <c r="A12" t="str">
        <f>"881026"</f>
        <v>881026</v>
      </c>
      <c r="B12" t="s">
        <v>23</v>
      </c>
      <c r="C12">
        <v>4.49</v>
      </c>
      <c r="D12">
        <v>1124.87</v>
      </c>
      <c r="E12">
        <v>46333075456</v>
      </c>
      <c r="F12">
        <v>89.8</v>
      </c>
      <c r="H12">
        <v>95.4</v>
      </c>
      <c r="I12">
        <v>95.4</v>
      </c>
      <c r="J12">
        <v>93.1</v>
      </c>
      <c r="K12">
        <v>93.1</v>
      </c>
      <c r="L12">
        <v>98.4</v>
      </c>
      <c r="M12">
        <v>98.4</v>
      </c>
    </row>
    <row r="13" spans="1:12">
      <c r="A13" t="str">
        <f>"881071"</f>
        <v>881071</v>
      </c>
      <c r="B13" t="s">
        <v>24</v>
      </c>
      <c r="C13">
        <v>-2.4</v>
      </c>
      <c r="D13">
        <v>2397.37</v>
      </c>
      <c r="E13">
        <v>53921910784</v>
      </c>
      <c r="F13">
        <v>98.7</v>
      </c>
      <c r="G13">
        <v>98.7</v>
      </c>
      <c r="H13">
        <v>95.2</v>
      </c>
      <c r="I13">
        <v>95.2</v>
      </c>
      <c r="J13">
        <v>1</v>
      </c>
      <c r="L13">
        <v>26.7</v>
      </c>
    </row>
    <row r="14" spans="1:12">
      <c r="A14" t="str">
        <f>"881055"</f>
        <v>881055</v>
      </c>
      <c r="B14" t="s">
        <v>25</v>
      </c>
      <c r="C14">
        <v>2.64</v>
      </c>
      <c r="D14">
        <v>1436.22</v>
      </c>
      <c r="E14">
        <v>35678212096</v>
      </c>
      <c r="F14">
        <v>95.4</v>
      </c>
      <c r="G14">
        <v>95.4</v>
      </c>
      <c r="H14">
        <v>94.1</v>
      </c>
      <c r="I14">
        <v>94.1</v>
      </c>
      <c r="J14">
        <v>76.3</v>
      </c>
      <c r="L14">
        <v>71.7</v>
      </c>
    </row>
    <row r="15" spans="1:13">
      <c r="A15" t="str">
        <f>"881104"</f>
        <v>881104</v>
      </c>
      <c r="B15" t="s">
        <v>26</v>
      </c>
      <c r="C15">
        <v>2.73</v>
      </c>
      <c r="D15">
        <v>1076.88</v>
      </c>
      <c r="E15">
        <v>5676605440</v>
      </c>
      <c r="F15">
        <v>81.5</v>
      </c>
      <c r="H15">
        <v>93.9</v>
      </c>
      <c r="I15">
        <v>93.9</v>
      </c>
      <c r="J15">
        <v>98.7</v>
      </c>
      <c r="K15">
        <v>98.7</v>
      </c>
      <c r="L15">
        <v>94.2</v>
      </c>
      <c r="M15">
        <v>94.2</v>
      </c>
    </row>
    <row r="16" spans="1:12">
      <c r="A16" t="str">
        <f>"881282"</f>
        <v>881282</v>
      </c>
      <c r="B16" t="s">
        <v>27</v>
      </c>
      <c r="C16">
        <v>0.51</v>
      </c>
      <c r="D16">
        <v>882.03</v>
      </c>
      <c r="E16">
        <v>19687725056</v>
      </c>
      <c r="F16">
        <v>93.9</v>
      </c>
      <c r="G16">
        <v>93.9</v>
      </c>
      <c r="H16">
        <v>93.4</v>
      </c>
      <c r="I16">
        <v>93.4</v>
      </c>
      <c r="J16">
        <v>59.6</v>
      </c>
      <c r="L16">
        <v>66.4</v>
      </c>
    </row>
    <row r="17" spans="1:13">
      <c r="A17" t="str">
        <f>"881007"</f>
        <v>881007</v>
      </c>
      <c r="B17" t="s">
        <v>28</v>
      </c>
      <c r="C17">
        <v>-3.04</v>
      </c>
      <c r="D17">
        <v>3168.23</v>
      </c>
      <c r="E17">
        <v>21487927296</v>
      </c>
      <c r="F17">
        <v>96.9</v>
      </c>
      <c r="G17">
        <v>96.9</v>
      </c>
      <c r="H17">
        <v>90.6</v>
      </c>
      <c r="I17">
        <v>90.6</v>
      </c>
      <c r="J17">
        <v>98.2</v>
      </c>
      <c r="K17">
        <v>98.2</v>
      </c>
      <c r="L17">
        <v>100</v>
      </c>
      <c r="M17">
        <v>100</v>
      </c>
    </row>
    <row r="18" spans="1:12">
      <c r="A18" t="str">
        <f>"881291"</f>
        <v>881291</v>
      </c>
      <c r="B18" t="s">
        <v>29</v>
      </c>
      <c r="C18">
        <v>0.48</v>
      </c>
      <c r="D18">
        <v>1076.08</v>
      </c>
      <c r="E18">
        <v>39256748032</v>
      </c>
      <c r="F18">
        <v>64.8</v>
      </c>
      <c r="H18">
        <v>90.4</v>
      </c>
      <c r="I18">
        <v>90.4</v>
      </c>
      <c r="J18">
        <v>31.4</v>
      </c>
      <c r="L18">
        <v>34</v>
      </c>
    </row>
    <row r="19" spans="1:13">
      <c r="A19" t="str">
        <f>"881290"</f>
        <v>881290</v>
      </c>
      <c r="B19" t="s">
        <v>30</v>
      </c>
      <c r="C19">
        <v>2.23</v>
      </c>
      <c r="D19">
        <v>1553.15</v>
      </c>
      <c r="E19">
        <v>14426805248</v>
      </c>
      <c r="F19">
        <v>57.5</v>
      </c>
      <c r="H19">
        <v>89.1</v>
      </c>
      <c r="J19">
        <v>99.7</v>
      </c>
      <c r="K19">
        <v>99.7</v>
      </c>
      <c r="L19">
        <v>96.7</v>
      </c>
      <c r="M19">
        <v>96.7</v>
      </c>
    </row>
    <row r="20" spans="1:13">
      <c r="A20" t="str">
        <f>"881476"</f>
        <v>881476</v>
      </c>
      <c r="B20" t="s">
        <v>31</v>
      </c>
      <c r="C20">
        <v>2.4</v>
      </c>
      <c r="D20">
        <v>931.9</v>
      </c>
      <c r="E20">
        <v>671718656</v>
      </c>
      <c r="F20">
        <v>91.1</v>
      </c>
      <c r="G20">
        <v>91.1</v>
      </c>
      <c r="H20">
        <v>88.8</v>
      </c>
      <c r="J20">
        <v>95.2</v>
      </c>
      <c r="K20">
        <v>95.2</v>
      </c>
      <c r="L20">
        <v>93.1</v>
      </c>
      <c r="M20">
        <v>93.1</v>
      </c>
    </row>
    <row r="21" spans="1:12">
      <c r="A21" t="str">
        <f>"881294"</f>
        <v>881294</v>
      </c>
      <c r="B21" t="s">
        <v>32</v>
      </c>
      <c r="C21">
        <v>0.82</v>
      </c>
      <c r="D21">
        <v>1599.78</v>
      </c>
      <c r="E21">
        <v>69340176384</v>
      </c>
      <c r="F21">
        <v>81</v>
      </c>
      <c r="H21">
        <v>87.6</v>
      </c>
      <c r="J21">
        <v>83.3</v>
      </c>
      <c r="L21">
        <v>48.8</v>
      </c>
    </row>
    <row r="22" spans="1:12">
      <c r="A22" t="str">
        <f>"881313"</f>
        <v>881313</v>
      </c>
      <c r="B22" t="s">
        <v>33</v>
      </c>
      <c r="C22">
        <v>1.02</v>
      </c>
      <c r="D22">
        <v>1386.62</v>
      </c>
      <c r="E22">
        <v>37069672448</v>
      </c>
      <c r="F22">
        <v>63.3</v>
      </c>
      <c r="H22">
        <v>87.3</v>
      </c>
      <c r="J22">
        <v>86.1</v>
      </c>
      <c r="L22">
        <v>74.5</v>
      </c>
    </row>
    <row r="23" spans="1:12">
      <c r="A23" t="str">
        <f>"881338"</f>
        <v>881338</v>
      </c>
      <c r="B23" t="s">
        <v>34</v>
      </c>
      <c r="C23">
        <v>-1.49</v>
      </c>
      <c r="D23">
        <v>3351.11</v>
      </c>
      <c r="E23">
        <v>118103777280</v>
      </c>
      <c r="F23">
        <v>80</v>
      </c>
      <c r="H23">
        <v>85.8</v>
      </c>
      <c r="J23">
        <v>84.1</v>
      </c>
      <c r="L23">
        <v>81.1</v>
      </c>
    </row>
    <row r="24" spans="1:12">
      <c r="A24" t="str">
        <f>"881359"</f>
        <v>881359</v>
      </c>
      <c r="B24" t="s">
        <v>35</v>
      </c>
      <c r="C24">
        <v>1.77</v>
      </c>
      <c r="D24">
        <v>1344.36</v>
      </c>
      <c r="E24">
        <v>54144307200</v>
      </c>
      <c r="F24">
        <v>47.4</v>
      </c>
      <c r="H24">
        <v>85.6</v>
      </c>
      <c r="J24">
        <v>44.3</v>
      </c>
      <c r="L24">
        <v>14.3</v>
      </c>
    </row>
    <row r="25" spans="1:12">
      <c r="A25" t="str">
        <f>"881410"</f>
        <v>881410</v>
      </c>
      <c r="B25" t="s">
        <v>36</v>
      </c>
      <c r="C25">
        <v>0.72</v>
      </c>
      <c r="D25">
        <v>1140.22</v>
      </c>
      <c r="E25">
        <v>11447733248</v>
      </c>
      <c r="F25">
        <v>81.8</v>
      </c>
      <c r="H25">
        <v>84.8</v>
      </c>
      <c r="J25">
        <v>54.4</v>
      </c>
      <c r="L25">
        <v>61.2</v>
      </c>
    </row>
    <row r="26" spans="1:12">
      <c r="A26" t="str">
        <f>"881034"</f>
        <v>881034</v>
      </c>
      <c r="B26" t="s">
        <v>37</v>
      </c>
      <c r="C26">
        <v>3.09</v>
      </c>
      <c r="D26">
        <v>1018.5</v>
      </c>
      <c r="E26">
        <v>38153170944</v>
      </c>
      <c r="F26">
        <v>75.2</v>
      </c>
      <c r="H26">
        <v>84.5</v>
      </c>
      <c r="J26">
        <v>81.8</v>
      </c>
      <c r="L26">
        <v>86.3</v>
      </c>
    </row>
    <row r="27" spans="1:12">
      <c r="A27" t="str">
        <f>"881288"</f>
        <v>881288</v>
      </c>
      <c r="B27" t="s">
        <v>38</v>
      </c>
      <c r="C27">
        <v>1.76</v>
      </c>
      <c r="D27">
        <v>935.58</v>
      </c>
      <c r="E27">
        <v>31488696320</v>
      </c>
      <c r="F27">
        <v>51.5</v>
      </c>
      <c r="H27">
        <v>84.3</v>
      </c>
      <c r="J27">
        <v>80.6</v>
      </c>
      <c r="L27">
        <v>80.6</v>
      </c>
    </row>
    <row r="28" spans="1:12">
      <c r="A28" t="str">
        <f>"881062"</f>
        <v>881062</v>
      </c>
      <c r="B28" t="s">
        <v>39</v>
      </c>
      <c r="C28">
        <v>-1.56</v>
      </c>
      <c r="D28">
        <v>1420.82</v>
      </c>
      <c r="E28">
        <v>4390140928</v>
      </c>
      <c r="F28">
        <v>99.4</v>
      </c>
      <c r="G28">
        <v>99.4</v>
      </c>
      <c r="H28">
        <v>83.8</v>
      </c>
      <c r="J28">
        <v>81.3</v>
      </c>
      <c r="L28">
        <v>14.8</v>
      </c>
    </row>
    <row r="29" spans="1:12">
      <c r="A29" t="str">
        <f>"881427"</f>
        <v>881427</v>
      </c>
      <c r="B29" t="s">
        <v>40</v>
      </c>
      <c r="C29">
        <v>2.93</v>
      </c>
      <c r="D29">
        <v>815.95</v>
      </c>
      <c r="E29">
        <v>717843072</v>
      </c>
      <c r="F29">
        <v>67.4</v>
      </c>
      <c r="H29">
        <v>83</v>
      </c>
      <c r="J29">
        <v>93.7</v>
      </c>
      <c r="K29">
        <v>93.7</v>
      </c>
      <c r="L29">
        <v>62.9</v>
      </c>
    </row>
    <row r="30" spans="1:12">
      <c r="A30" t="str">
        <f>"881303"</f>
        <v>881303</v>
      </c>
      <c r="B30" t="s">
        <v>41</v>
      </c>
      <c r="C30">
        <v>0.4</v>
      </c>
      <c r="D30">
        <v>1459.68</v>
      </c>
      <c r="E30">
        <v>54525693952</v>
      </c>
      <c r="F30">
        <v>76.5</v>
      </c>
      <c r="H30">
        <v>81.8</v>
      </c>
      <c r="J30">
        <v>73.5</v>
      </c>
      <c r="L30">
        <v>52.3</v>
      </c>
    </row>
    <row r="31" spans="1:12">
      <c r="A31" t="str">
        <f>"881069"</f>
        <v>881069</v>
      </c>
      <c r="B31" t="s">
        <v>42</v>
      </c>
      <c r="C31">
        <v>1.4</v>
      </c>
      <c r="D31">
        <v>905.33</v>
      </c>
      <c r="E31">
        <v>3441603072</v>
      </c>
      <c r="F31">
        <v>89.3</v>
      </c>
      <c r="H31">
        <v>80</v>
      </c>
      <c r="J31">
        <v>90.4</v>
      </c>
      <c r="K31">
        <v>90.4</v>
      </c>
      <c r="L31">
        <v>71.5</v>
      </c>
    </row>
    <row r="32" spans="1:13">
      <c r="A32" t="str">
        <f>"881011"</f>
        <v>881011</v>
      </c>
      <c r="B32" t="s">
        <v>43</v>
      </c>
      <c r="C32">
        <v>-1.43</v>
      </c>
      <c r="D32">
        <v>1678.95</v>
      </c>
      <c r="E32">
        <v>13498240000</v>
      </c>
      <c r="F32">
        <v>84.3</v>
      </c>
      <c r="H32">
        <v>79</v>
      </c>
      <c r="J32">
        <v>84.3</v>
      </c>
      <c r="L32">
        <v>97.9</v>
      </c>
      <c r="M32">
        <v>97.9</v>
      </c>
    </row>
    <row r="33" spans="1:13">
      <c r="A33" t="str">
        <f>"881106"</f>
        <v>881106</v>
      </c>
      <c r="B33" t="s">
        <v>44</v>
      </c>
      <c r="C33">
        <v>3.36</v>
      </c>
      <c r="D33">
        <v>1145.62</v>
      </c>
      <c r="E33">
        <v>13811765248</v>
      </c>
      <c r="F33">
        <v>82</v>
      </c>
      <c r="H33">
        <v>74.7</v>
      </c>
      <c r="J33">
        <v>82.3</v>
      </c>
      <c r="L33">
        <v>97.4</v>
      </c>
      <c r="M33">
        <v>97.4</v>
      </c>
    </row>
    <row r="34" spans="1:13">
      <c r="A34" t="str">
        <f>"881449"</f>
        <v>881449</v>
      </c>
      <c r="B34" t="s">
        <v>45</v>
      </c>
      <c r="C34">
        <v>0.14</v>
      </c>
      <c r="D34">
        <v>1631.24</v>
      </c>
      <c r="E34">
        <v>22807498752</v>
      </c>
      <c r="F34">
        <v>78.7</v>
      </c>
      <c r="H34">
        <v>74.4</v>
      </c>
      <c r="J34">
        <v>97.2</v>
      </c>
      <c r="K34">
        <v>97.2</v>
      </c>
      <c r="L34">
        <v>96.2</v>
      </c>
      <c r="M34">
        <v>96.2</v>
      </c>
    </row>
    <row r="35" spans="1:12">
      <c r="A35" t="str">
        <f>"881044"</f>
        <v>881044</v>
      </c>
      <c r="B35" t="s">
        <v>46</v>
      </c>
      <c r="C35">
        <v>1.12</v>
      </c>
      <c r="D35">
        <v>1320.69</v>
      </c>
      <c r="E35">
        <v>15706752000</v>
      </c>
      <c r="F35">
        <v>73.4</v>
      </c>
      <c r="H35">
        <v>70.9</v>
      </c>
      <c r="J35">
        <v>58.9</v>
      </c>
      <c r="L35">
        <v>26.1</v>
      </c>
    </row>
    <row r="36" spans="1:12">
      <c r="A36" t="str">
        <f>"881470"</f>
        <v>881470</v>
      </c>
      <c r="B36" t="s">
        <v>47</v>
      </c>
      <c r="C36">
        <v>1.17</v>
      </c>
      <c r="D36">
        <v>1072.31</v>
      </c>
      <c r="E36">
        <v>2585169920</v>
      </c>
      <c r="F36">
        <v>72.4</v>
      </c>
      <c r="H36">
        <v>70.7</v>
      </c>
      <c r="J36">
        <v>78</v>
      </c>
      <c r="L36">
        <v>18.3</v>
      </c>
    </row>
    <row r="37" spans="1:12">
      <c r="A37" t="str">
        <f>"881087"</f>
        <v>881087</v>
      </c>
      <c r="B37" t="s">
        <v>48</v>
      </c>
      <c r="C37">
        <v>-0.56</v>
      </c>
      <c r="D37">
        <v>1350.44</v>
      </c>
      <c r="E37">
        <v>8675118080</v>
      </c>
      <c r="F37">
        <v>33.3</v>
      </c>
      <c r="H37">
        <v>69.9</v>
      </c>
      <c r="J37">
        <v>20.1</v>
      </c>
      <c r="L37">
        <v>3.5</v>
      </c>
    </row>
    <row r="38" spans="1:12">
      <c r="A38" t="str">
        <f>"881329"</f>
        <v>881329</v>
      </c>
      <c r="B38" t="s">
        <v>49</v>
      </c>
      <c r="C38">
        <v>-1.2</v>
      </c>
      <c r="D38">
        <v>1053.09</v>
      </c>
      <c r="E38">
        <v>69874343936</v>
      </c>
      <c r="F38">
        <v>53.5</v>
      </c>
      <c r="H38">
        <v>69.4</v>
      </c>
      <c r="J38">
        <v>72.2</v>
      </c>
      <c r="L38">
        <v>65.4</v>
      </c>
    </row>
    <row r="39" spans="1:12">
      <c r="A39" t="str">
        <f>"881333"</f>
        <v>881333</v>
      </c>
      <c r="B39" t="s">
        <v>50</v>
      </c>
      <c r="C39">
        <v>-0.64</v>
      </c>
      <c r="D39">
        <v>2176.04</v>
      </c>
      <c r="E39">
        <v>57025036288</v>
      </c>
      <c r="F39">
        <v>63.6</v>
      </c>
      <c r="H39">
        <v>68.4</v>
      </c>
      <c r="J39">
        <v>90.1</v>
      </c>
      <c r="K39">
        <v>90.1</v>
      </c>
      <c r="L39">
        <v>10</v>
      </c>
    </row>
    <row r="40" spans="1:12">
      <c r="A40" t="str">
        <f>"881471"</f>
        <v>881471</v>
      </c>
      <c r="B40" t="s">
        <v>51</v>
      </c>
      <c r="C40">
        <v>2.29</v>
      </c>
      <c r="D40">
        <v>1079.63</v>
      </c>
      <c r="E40">
        <v>21915932672</v>
      </c>
      <c r="F40">
        <v>63.1</v>
      </c>
      <c r="H40">
        <v>66.1</v>
      </c>
      <c r="J40">
        <v>86.9</v>
      </c>
      <c r="L40">
        <v>85.1</v>
      </c>
    </row>
    <row r="41" spans="1:12">
      <c r="A41" t="str">
        <f>"881319"</f>
        <v>881319</v>
      </c>
      <c r="B41" t="s">
        <v>52</v>
      </c>
      <c r="C41">
        <v>0.08</v>
      </c>
      <c r="D41">
        <v>1279.19</v>
      </c>
      <c r="E41">
        <v>151184408576</v>
      </c>
      <c r="F41">
        <v>62.6</v>
      </c>
      <c r="H41">
        <v>65.9</v>
      </c>
      <c r="J41">
        <v>9.3</v>
      </c>
      <c r="L41">
        <v>9.5</v>
      </c>
    </row>
    <row r="42" spans="1:13">
      <c r="A42" t="str">
        <f>"881002"</f>
        <v>881002</v>
      </c>
      <c r="B42" t="s">
        <v>53</v>
      </c>
      <c r="C42">
        <v>-0.77</v>
      </c>
      <c r="D42">
        <v>2461.61</v>
      </c>
      <c r="E42">
        <v>13665200128</v>
      </c>
      <c r="F42">
        <v>85.3</v>
      </c>
      <c r="H42">
        <v>65.6</v>
      </c>
      <c r="J42">
        <v>97.9</v>
      </c>
      <c r="K42">
        <v>97.9</v>
      </c>
      <c r="L42">
        <v>98.7</v>
      </c>
      <c r="M42">
        <v>98.7</v>
      </c>
    </row>
    <row r="43" spans="1:12">
      <c r="A43" t="str">
        <f>"881171"</f>
        <v>881171</v>
      </c>
      <c r="B43" t="s">
        <v>54</v>
      </c>
      <c r="C43">
        <v>1.21</v>
      </c>
      <c r="D43">
        <v>1133.04</v>
      </c>
      <c r="E43">
        <v>6879958528</v>
      </c>
      <c r="F43">
        <v>69.6</v>
      </c>
      <c r="H43">
        <v>65.1</v>
      </c>
      <c r="J43">
        <v>41.8</v>
      </c>
      <c r="L43">
        <v>29.7</v>
      </c>
    </row>
    <row r="44" spans="1:12">
      <c r="A44" t="str">
        <f>"881198"</f>
        <v>881198</v>
      </c>
      <c r="B44" t="s">
        <v>55</v>
      </c>
      <c r="C44">
        <v>0.74</v>
      </c>
      <c r="D44">
        <v>1885.27</v>
      </c>
      <c r="E44">
        <v>5982432768</v>
      </c>
      <c r="F44">
        <v>86.8</v>
      </c>
      <c r="H44">
        <v>62.8</v>
      </c>
      <c r="J44">
        <v>20.4</v>
      </c>
      <c r="L44">
        <v>10.5</v>
      </c>
    </row>
    <row r="45" spans="1:12">
      <c r="A45" t="str">
        <f>"881370"</f>
        <v>881370</v>
      </c>
      <c r="B45" t="s">
        <v>56</v>
      </c>
      <c r="C45">
        <v>0.45</v>
      </c>
      <c r="D45">
        <v>1476.12</v>
      </c>
      <c r="E45">
        <v>16209837056</v>
      </c>
      <c r="F45">
        <v>51.7</v>
      </c>
      <c r="H45">
        <v>61.8</v>
      </c>
      <c r="J45">
        <v>0.5</v>
      </c>
      <c r="L45">
        <v>1.5</v>
      </c>
    </row>
    <row r="46" spans="1:12">
      <c r="A46" t="str">
        <f>"881078"</f>
        <v>881078</v>
      </c>
      <c r="B46" t="s">
        <v>57</v>
      </c>
      <c r="C46">
        <v>-1.68</v>
      </c>
      <c r="D46">
        <v>652.83</v>
      </c>
      <c r="E46">
        <v>17579421696</v>
      </c>
      <c r="F46">
        <v>98.2</v>
      </c>
      <c r="G46">
        <v>98.2</v>
      </c>
      <c r="H46">
        <v>61.6</v>
      </c>
      <c r="J46">
        <v>4.2</v>
      </c>
      <c r="L46">
        <v>0.2</v>
      </c>
    </row>
    <row r="47" spans="1:13">
      <c r="A47" t="str">
        <f>"881467"</f>
        <v>881467</v>
      </c>
      <c r="B47" t="s">
        <v>58</v>
      </c>
      <c r="C47">
        <v>-1.48</v>
      </c>
      <c r="D47">
        <v>1226.98</v>
      </c>
      <c r="E47">
        <v>12198850560</v>
      </c>
      <c r="F47">
        <v>79.7</v>
      </c>
      <c r="H47">
        <v>59.3</v>
      </c>
      <c r="J47">
        <v>80.3</v>
      </c>
      <c r="L47">
        <v>95.2</v>
      </c>
      <c r="M47">
        <v>95.2</v>
      </c>
    </row>
    <row r="48" spans="1:12">
      <c r="A48" t="str">
        <f>"881275"</f>
        <v>881275</v>
      </c>
      <c r="B48" t="s">
        <v>59</v>
      </c>
      <c r="C48">
        <v>0.47</v>
      </c>
      <c r="D48">
        <v>563.33</v>
      </c>
      <c r="E48">
        <v>50955091968</v>
      </c>
      <c r="F48">
        <v>84.5</v>
      </c>
      <c r="H48">
        <v>58.3</v>
      </c>
      <c r="J48">
        <v>52.3</v>
      </c>
      <c r="L48">
        <v>58.1</v>
      </c>
    </row>
    <row r="49" spans="1:12">
      <c r="A49" t="str">
        <f>"881097"</f>
        <v>881097</v>
      </c>
      <c r="B49" t="s">
        <v>60</v>
      </c>
      <c r="C49">
        <v>0.41</v>
      </c>
      <c r="D49">
        <v>826.9</v>
      </c>
      <c r="E49">
        <v>6022184960</v>
      </c>
      <c r="F49">
        <v>65.9</v>
      </c>
      <c r="H49">
        <v>57.5</v>
      </c>
      <c r="J49">
        <v>15.8</v>
      </c>
      <c r="L49">
        <v>38.5</v>
      </c>
    </row>
    <row r="50" spans="1:12">
      <c r="A50" t="str">
        <f>"881206"</f>
        <v>881206</v>
      </c>
      <c r="B50" t="s">
        <v>61</v>
      </c>
      <c r="C50">
        <v>3.13</v>
      </c>
      <c r="D50">
        <v>964.76</v>
      </c>
      <c r="E50">
        <v>3150662656</v>
      </c>
      <c r="F50">
        <v>71.9</v>
      </c>
      <c r="H50">
        <v>55.3</v>
      </c>
      <c r="J50">
        <v>63.7</v>
      </c>
      <c r="L50">
        <v>83.6</v>
      </c>
    </row>
    <row r="51" spans="1:12">
      <c r="A51" t="str">
        <f>"881218"</f>
        <v>881218</v>
      </c>
      <c r="B51" t="s">
        <v>62</v>
      </c>
      <c r="C51">
        <v>1.38</v>
      </c>
      <c r="D51">
        <v>1327.24</v>
      </c>
      <c r="E51">
        <v>57211478016</v>
      </c>
      <c r="F51">
        <v>55.5</v>
      </c>
      <c r="H51">
        <v>53.7</v>
      </c>
      <c r="J51">
        <v>40.3</v>
      </c>
      <c r="L51">
        <v>31.4</v>
      </c>
    </row>
    <row r="52" spans="1:12">
      <c r="A52" t="str">
        <f>"881416"</f>
        <v>881416</v>
      </c>
      <c r="B52" t="s">
        <v>63</v>
      </c>
      <c r="C52">
        <v>2.1</v>
      </c>
      <c r="D52">
        <v>1035.39</v>
      </c>
      <c r="E52">
        <v>2443968256</v>
      </c>
      <c r="F52">
        <v>91.6</v>
      </c>
      <c r="G52">
        <v>91.6</v>
      </c>
      <c r="H52">
        <v>52.7</v>
      </c>
      <c r="J52">
        <v>51.8</v>
      </c>
      <c r="L52">
        <v>27.2</v>
      </c>
    </row>
    <row r="53" spans="1:12">
      <c r="A53" t="str">
        <f>"881310"</f>
        <v>881310</v>
      </c>
      <c r="B53" t="s">
        <v>64</v>
      </c>
      <c r="C53">
        <v>0.9</v>
      </c>
      <c r="D53">
        <v>1356.92</v>
      </c>
      <c r="E53">
        <v>8603063296</v>
      </c>
      <c r="F53">
        <v>58.3</v>
      </c>
      <c r="H53">
        <v>51.7</v>
      </c>
      <c r="J53">
        <v>63.4</v>
      </c>
      <c r="L53">
        <v>40.8</v>
      </c>
    </row>
    <row r="54" spans="1:12">
      <c r="A54" t="str">
        <f>"881167"</f>
        <v>881167</v>
      </c>
      <c r="B54" t="s">
        <v>65</v>
      </c>
      <c r="C54">
        <v>1.52</v>
      </c>
      <c r="D54">
        <v>987.29</v>
      </c>
      <c r="E54">
        <v>4414253056</v>
      </c>
      <c r="F54">
        <v>43.9</v>
      </c>
      <c r="H54">
        <v>50.2</v>
      </c>
      <c r="J54">
        <v>70.2</v>
      </c>
      <c r="L54">
        <v>68</v>
      </c>
    </row>
    <row r="55" spans="1:12">
      <c r="A55" t="str">
        <f>"881436"</f>
        <v>881436</v>
      </c>
      <c r="B55" t="s">
        <v>66</v>
      </c>
      <c r="C55">
        <v>1.43</v>
      </c>
      <c r="D55">
        <v>858.03</v>
      </c>
      <c r="E55">
        <v>4513853440</v>
      </c>
      <c r="F55">
        <v>46.7</v>
      </c>
      <c r="H55">
        <v>50</v>
      </c>
      <c r="J55">
        <v>30.7</v>
      </c>
      <c r="L55">
        <v>33.5</v>
      </c>
    </row>
    <row r="56" spans="1:13">
      <c r="A56" t="str">
        <f>"881459"</f>
        <v>881459</v>
      </c>
      <c r="B56" t="s">
        <v>67</v>
      </c>
      <c r="C56">
        <v>0.89</v>
      </c>
      <c r="D56">
        <v>1425.39</v>
      </c>
      <c r="E56">
        <v>60792643584</v>
      </c>
      <c r="F56">
        <v>55.3</v>
      </c>
      <c r="H56">
        <v>48.7</v>
      </c>
      <c r="J56">
        <v>94.2</v>
      </c>
      <c r="K56">
        <v>94.2</v>
      </c>
      <c r="L56">
        <v>97.2</v>
      </c>
      <c r="M56">
        <v>97.2</v>
      </c>
    </row>
    <row r="57" spans="1:13">
      <c r="A57" t="str">
        <f>"881407"</f>
        <v>881407</v>
      </c>
      <c r="B57" t="s">
        <v>68</v>
      </c>
      <c r="C57">
        <v>2.39</v>
      </c>
      <c r="D57">
        <v>1257.19</v>
      </c>
      <c r="E57">
        <v>21905004544</v>
      </c>
      <c r="F57">
        <v>45.9</v>
      </c>
      <c r="H57">
        <v>48.4</v>
      </c>
      <c r="J57">
        <v>82.6</v>
      </c>
      <c r="L57">
        <v>93.9</v>
      </c>
      <c r="M57">
        <v>93.9</v>
      </c>
    </row>
    <row r="58" spans="1:12">
      <c r="A58" t="str">
        <f>"881065"</f>
        <v>881065</v>
      </c>
      <c r="B58" t="s">
        <v>69</v>
      </c>
      <c r="C58">
        <v>0.12</v>
      </c>
      <c r="D58">
        <v>1128.63</v>
      </c>
      <c r="E58">
        <v>9791419392</v>
      </c>
      <c r="F58">
        <v>45.2</v>
      </c>
      <c r="H58">
        <v>47.7</v>
      </c>
      <c r="J58">
        <v>54.1</v>
      </c>
      <c r="L58">
        <v>45.8</v>
      </c>
    </row>
    <row r="59" spans="1:12">
      <c r="A59" t="str">
        <f>"881051"</f>
        <v>881051</v>
      </c>
      <c r="B59" t="s">
        <v>70</v>
      </c>
      <c r="C59">
        <v>0.91</v>
      </c>
      <c r="D59">
        <v>911.84</v>
      </c>
      <c r="E59">
        <v>3101367552</v>
      </c>
      <c r="F59">
        <v>41.4</v>
      </c>
      <c r="H59">
        <v>46.9</v>
      </c>
      <c r="J59">
        <v>52.8</v>
      </c>
      <c r="L59">
        <v>49.8</v>
      </c>
    </row>
    <row r="60" spans="1:12">
      <c r="A60" t="str">
        <f>"881396"</f>
        <v>881396</v>
      </c>
      <c r="B60" t="s">
        <v>71</v>
      </c>
      <c r="C60">
        <v>1.65</v>
      </c>
      <c r="D60">
        <v>1304.52</v>
      </c>
      <c r="E60">
        <v>9385124864</v>
      </c>
      <c r="F60">
        <v>8.5</v>
      </c>
      <c r="H60">
        <v>45.4</v>
      </c>
      <c r="J60">
        <v>41.5</v>
      </c>
      <c r="L60">
        <v>79.8</v>
      </c>
    </row>
    <row r="61" spans="1:12">
      <c r="A61" t="str">
        <f>"881091"</f>
        <v>881091</v>
      </c>
      <c r="B61" t="s">
        <v>72</v>
      </c>
      <c r="C61">
        <v>1.96</v>
      </c>
      <c r="D61">
        <v>893.15</v>
      </c>
      <c r="E61">
        <v>3382538752</v>
      </c>
      <c r="F61">
        <v>40.1</v>
      </c>
      <c r="H61">
        <v>39.1</v>
      </c>
      <c r="J61">
        <v>42.8</v>
      </c>
      <c r="L61">
        <v>77.3</v>
      </c>
    </row>
    <row r="62" spans="1:12">
      <c r="A62" t="str">
        <f>"881162"</f>
        <v>881162</v>
      </c>
      <c r="B62" t="s">
        <v>73</v>
      </c>
      <c r="C62">
        <v>1.03</v>
      </c>
      <c r="D62">
        <v>1171.25</v>
      </c>
      <c r="E62">
        <v>1945640320</v>
      </c>
      <c r="F62">
        <v>16.1</v>
      </c>
      <c r="H62">
        <v>37.6</v>
      </c>
      <c r="J62">
        <v>1.2</v>
      </c>
      <c r="L62">
        <v>36.5</v>
      </c>
    </row>
    <row r="63" spans="1:12">
      <c r="A63" t="str">
        <f>"881336"</f>
        <v>881336</v>
      </c>
      <c r="B63" t="s">
        <v>74</v>
      </c>
      <c r="C63">
        <v>1.74</v>
      </c>
      <c r="D63">
        <v>1757.56</v>
      </c>
      <c r="E63">
        <v>20777709568</v>
      </c>
      <c r="F63">
        <v>56.3</v>
      </c>
      <c r="H63">
        <v>37.1</v>
      </c>
      <c r="J63">
        <v>18.1</v>
      </c>
      <c r="L63">
        <v>26.9</v>
      </c>
    </row>
    <row r="64" spans="1:12">
      <c r="A64" t="str">
        <f>"881187"</f>
        <v>881187</v>
      </c>
      <c r="B64" t="s">
        <v>75</v>
      </c>
      <c r="C64">
        <v>2.11</v>
      </c>
      <c r="D64">
        <v>1713.71</v>
      </c>
      <c r="E64">
        <v>5966943232</v>
      </c>
      <c r="F64">
        <v>25</v>
      </c>
      <c r="H64">
        <v>36.6</v>
      </c>
      <c r="J64">
        <v>37.2</v>
      </c>
      <c r="L64">
        <v>57.4</v>
      </c>
    </row>
    <row r="65" spans="1:12">
      <c r="A65" t="str">
        <f>"881127"</f>
        <v>881127</v>
      </c>
      <c r="B65" t="s">
        <v>76</v>
      </c>
      <c r="C65">
        <v>2.82</v>
      </c>
      <c r="D65">
        <v>888.77</v>
      </c>
      <c r="E65">
        <v>1538664960</v>
      </c>
      <c r="F65">
        <v>35.6</v>
      </c>
      <c r="H65">
        <v>36.1</v>
      </c>
      <c r="J65">
        <v>7.5</v>
      </c>
      <c r="L65">
        <v>37.7</v>
      </c>
    </row>
    <row r="66" spans="1:12">
      <c r="A66" t="str">
        <f>"881005"</f>
        <v>881005</v>
      </c>
      <c r="B66" t="s">
        <v>77</v>
      </c>
      <c r="C66">
        <v>-0.92</v>
      </c>
      <c r="D66">
        <v>590.62</v>
      </c>
      <c r="E66">
        <v>2937302016</v>
      </c>
      <c r="F66">
        <v>67.6</v>
      </c>
      <c r="H66">
        <v>33.5</v>
      </c>
      <c r="J66">
        <v>81.1</v>
      </c>
      <c r="L66">
        <v>80.8</v>
      </c>
    </row>
    <row r="67" spans="1:12">
      <c r="A67" t="str">
        <f>"881261"</f>
        <v>881261</v>
      </c>
      <c r="B67" t="s">
        <v>78</v>
      </c>
      <c r="C67">
        <v>0.86</v>
      </c>
      <c r="D67">
        <v>1376.36</v>
      </c>
      <c r="E67">
        <v>4885850624</v>
      </c>
      <c r="F67">
        <v>44.9</v>
      </c>
      <c r="H67">
        <v>31.8</v>
      </c>
      <c r="J67">
        <v>21.4</v>
      </c>
      <c r="L67">
        <v>12.8</v>
      </c>
    </row>
    <row r="68" spans="1:12">
      <c r="A68" t="str">
        <f>"881247"</f>
        <v>881247</v>
      </c>
      <c r="B68" t="s">
        <v>79</v>
      </c>
      <c r="C68">
        <v>1.89</v>
      </c>
      <c r="D68">
        <v>512.38</v>
      </c>
      <c r="E68">
        <v>16737563648</v>
      </c>
      <c r="F68">
        <v>4.7</v>
      </c>
      <c r="H68">
        <v>31.5</v>
      </c>
      <c r="J68">
        <v>9</v>
      </c>
      <c r="L68">
        <v>23.1</v>
      </c>
    </row>
    <row r="69" spans="1:12">
      <c r="A69" t="str">
        <f>"881452"</f>
        <v>881452</v>
      </c>
      <c r="B69" t="s">
        <v>80</v>
      </c>
      <c r="C69">
        <v>1.71</v>
      </c>
      <c r="D69">
        <v>910.81</v>
      </c>
      <c r="E69">
        <v>7380131328</v>
      </c>
      <c r="F69">
        <v>20.2</v>
      </c>
      <c r="H69">
        <v>29.2</v>
      </c>
      <c r="J69">
        <v>58.1</v>
      </c>
      <c r="L69">
        <v>72.2</v>
      </c>
    </row>
    <row r="70" spans="1:12">
      <c r="A70" t="str">
        <f>"881395"</f>
        <v>881395</v>
      </c>
      <c r="B70" t="s">
        <v>81</v>
      </c>
      <c r="C70">
        <v>0.58</v>
      </c>
      <c r="D70">
        <v>1644.95</v>
      </c>
      <c r="E70">
        <v>6918104576</v>
      </c>
      <c r="F70">
        <v>36.6</v>
      </c>
      <c r="H70">
        <v>28.7</v>
      </c>
      <c r="J70">
        <v>1.5</v>
      </c>
      <c r="L70">
        <v>64.4</v>
      </c>
    </row>
    <row r="71" spans="1:12">
      <c r="A71" t="str">
        <f>"881224"</f>
        <v>881224</v>
      </c>
      <c r="B71" t="s">
        <v>82</v>
      </c>
      <c r="C71">
        <v>1.39</v>
      </c>
      <c r="D71">
        <v>690.13</v>
      </c>
      <c r="E71">
        <v>520710688</v>
      </c>
      <c r="F71">
        <v>22.2</v>
      </c>
      <c r="H71">
        <v>28</v>
      </c>
      <c r="J71">
        <v>36.2</v>
      </c>
      <c r="L71">
        <v>23.6</v>
      </c>
    </row>
    <row r="72" spans="1:12">
      <c r="A72" t="str">
        <f>"881287"</f>
        <v>881287</v>
      </c>
      <c r="B72" t="s">
        <v>83</v>
      </c>
      <c r="C72">
        <v>-1.6</v>
      </c>
      <c r="D72">
        <v>1360.9</v>
      </c>
      <c r="E72">
        <v>6705683968</v>
      </c>
      <c r="F72">
        <v>1</v>
      </c>
      <c r="H72">
        <v>27.2</v>
      </c>
      <c r="J72">
        <v>64.2</v>
      </c>
      <c r="L72">
        <v>78</v>
      </c>
    </row>
    <row r="73" spans="1:12">
      <c r="A73" t="str">
        <f>"881369"</f>
        <v>881369</v>
      </c>
      <c r="B73" t="s">
        <v>84</v>
      </c>
      <c r="C73">
        <v>0.63</v>
      </c>
      <c r="D73">
        <v>1696.83</v>
      </c>
      <c r="E73">
        <v>10915526656</v>
      </c>
      <c r="F73">
        <v>37.1</v>
      </c>
      <c r="H73">
        <v>26.7</v>
      </c>
      <c r="J73">
        <v>2.5</v>
      </c>
      <c r="L73">
        <v>5.5</v>
      </c>
    </row>
    <row r="74" spans="1:13">
      <c r="A74" t="str">
        <f>"881139"</f>
        <v>881139</v>
      </c>
      <c r="B74" t="s">
        <v>85</v>
      </c>
      <c r="C74">
        <v>3.16</v>
      </c>
      <c r="D74">
        <v>600.88</v>
      </c>
      <c r="E74">
        <v>4327542784</v>
      </c>
      <c r="F74">
        <v>14.6</v>
      </c>
      <c r="H74">
        <v>25.5</v>
      </c>
      <c r="J74">
        <v>61.4</v>
      </c>
      <c r="L74">
        <v>91.1</v>
      </c>
      <c r="M74">
        <v>91.1</v>
      </c>
    </row>
    <row r="75" spans="1:12">
      <c r="A75" t="str">
        <f>"881177"</f>
        <v>881177</v>
      </c>
      <c r="B75" t="s">
        <v>86</v>
      </c>
      <c r="C75">
        <v>1.21</v>
      </c>
      <c r="D75">
        <v>1014.91</v>
      </c>
      <c r="E75">
        <v>5790228992</v>
      </c>
      <c r="F75">
        <v>42.6</v>
      </c>
      <c r="H75">
        <v>24.7</v>
      </c>
      <c r="J75">
        <v>25.4</v>
      </c>
      <c r="L75">
        <v>43.3</v>
      </c>
    </row>
    <row r="76" spans="1:12">
      <c r="A76" t="str">
        <f>"881123"</f>
        <v>881123</v>
      </c>
      <c r="B76" t="s">
        <v>87</v>
      </c>
      <c r="C76">
        <v>2.84</v>
      </c>
      <c r="D76">
        <v>715.45</v>
      </c>
      <c r="E76">
        <v>2680385792</v>
      </c>
      <c r="F76">
        <v>23.9</v>
      </c>
      <c r="H76">
        <v>24.4</v>
      </c>
      <c r="J76">
        <v>51.1</v>
      </c>
      <c r="L76">
        <v>87.9</v>
      </c>
    </row>
    <row r="77" spans="1:12">
      <c r="A77" t="str">
        <f>"881468"</f>
        <v>881468</v>
      </c>
      <c r="B77" t="s">
        <v>88</v>
      </c>
      <c r="C77">
        <v>1.39</v>
      </c>
      <c r="D77">
        <v>1082.05</v>
      </c>
      <c r="E77">
        <v>1560958464</v>
      </c>
      <c r="F77">
        <v>39.8</v>
      </c>
      <c r="H77">
        <v>24.2</v>
      </c>
      <c r="J77">
        <v>53.4</v>
      </c>
      <c r="L77">
        <v>81.8</v>
      </c>
    </row>
    <row r="78" spans="1:12">
      <c r="A78" t="str">
        <f>"881293"</f>
        <v>881293</v>
      </c>
      <c r="B78" t="s">
        <v>89</v>
      </c>
      <c r="C78">
        <v>1.63</v>
      </c>
      <c r="D78">
        <v>1216.28</v>
      </c>
      <c r="E78">
        <v>4700361216</v>
      </c>
      <c r="F78">
        <v>18.4</v>
      </c>
      <c r="H78">
        <v>23.2</v>
      </c>
      <c r="J78">
        <v>57.9</v>
      </c>
      <c r="L78">
        <v>85.6</v>
      </c>
    </row>
    <row r="79" spans="1:13">
      <c r="A79" t="str">
        <f>"881111"</f>
        <v>881111</v>
      </c>
      <c r="B79" t="s">
        <v>90</v>
      </c>
      <c r="C79">
        <v>4.77</v>
      </c>
      <c r="D79">
        <v>953.46</v>
      </c>
      <c r="E79">
        <v>11244432384</v>
      </c>
      <c r="F79">
        <v>14.3</v>
      </c>
      <c r="H79">
        <v>22.2</v>
      </c>
      <c r="J79">
        <v>84.8</v>
      </c>
      <c r="L79">
        <v>96.4</v>
      </c>
      <c r="M79">
        <v>96.4</v>
      </c>
    </row>
    <row r="80" spans="1:12">
      <c r="A80" t="str">
        <f>"881376"</f>
        <v>881376</v>
      </c>
      <c r="B80" t="s">
        <v>91</v>
      </c>
      <c r="C80">
        <v>0.11</v>
      </c>
      <c r="D80">
        <v>1000.77</v>
      </c>
      <c r="E80">
        <v>3255341824</v>
      </c>
      <c r="F80">
        <v>19.1</v>
      </c>
      <c r="H80">
        <v>21.4</v>
      </c>
      <c r="J80">
        <v>3</v>
      </c>
      <c r="L80">
        <v>0.7</v>
      </c>
    </row>
    <row r="81" spans="1:12">
      <c r="A81" t="str">
        <f>"881347"</f>
        <v>881347</v>
      </c>
      <c r="B81" t="s">
        <v>92</v>
      </c>
      <c r="C81">
        <v>2.3</v>
      </c>
      <c r="D81">
        <v>1312.24</v>
      </c>
      <c r="E81">
        <v>3632498944</v>
      </c>
      <c r="F81">
        <v>16.4</v>
      </c>
      <c r="H81">
        <v>20.4</v>
      </c>
      <c r="J81">
        <v>50.3</v>
      </c>
      <c r="L81">
        <v>35.7</v>
      </c>
    </row>
    <row r="82" spans="1:12">
      <c r="A82" t="str">
        <f>"881241"</f>
        <v>881241</v>
      </c>
      <c r="B82" t="s">
        <v>93</v>
      </c>
      <c r="C82">
        <v>1.92</v>
      </c>
      <c r="D82">
        <v>738.05</v>
      </c>
      <c r="E82">
        <v>15078147072</v>
      </c>
      <c r="F82">
        <v>5</v>
      </c>
      <c r="H82">
        <v>18.4</v>
      </c>
      <c r="J82">
        <v>25.6</v>
      </c>
      <c r="L82">
        <v>50.1</v>
      </c>
    </row>
    <row r="83" spans="1:12">
      <c r="A83" t="str">
        <f>"881429"</f>
        <v>881429</v>
      </c>
      <c r="B83" t="s">
        <v>94</v>
      </c>
      <c r="C83">
        <v>0.87</v>
      </c>
      <c r="D83">
        <v>719.26</v>
      </c>
      <c r="E83">
        <v>885125696</v>
      </c>
      <c r="F83">
        <v>33.5</v>
      </c>
      <c r="H83">
        <v>17.4</v>
      </c>
      <c r="J83">
        <v>31.9</v>
      </c>
      <c r="L83">
        <v>22.4</v>
      </c>
    </row>
    <row r="84" spans="1:12">
      <c r="A84" t="str">
        <f>"881215"</f>
        <v>881215</v>
      </c>
      <c r="B84" t="s">
        <v>95</v>
      </c>
      <c r="C84">
        <v>0.07</v>
      </c>
      <c r="D84">
        <v>1640.64</v>
      </c>
      <c r="E84">
        <v>3371268096</v>
      </c>
      <c r="F84">
        <v>22.9</v>
      </c>
      <c r="H84">
        <v>17.1</v>
      </c>
      <c r="J84">
        <v>19.6</v>
      </c>
      <c r="L84">
        <v>48.3</v>
      </c>
    </row>
    <row r="85" spans="1:12">
      <c r="A85" t="str">
        <f>"881157"</f>
        <v>881157</v>
      </c>
      <c r="B85" t="s">
        <v>96</v>
      </c>
      <c r="C85">
        <v>2.05</v>
      </c>
      <c r="D85">
        <v>1126.1</v>
      </c>
      <c r="E85">
        <v>5392700416</v>
      </c>
      <c r="F85">
        <v>49.2</v>
      </c>
      <c r="H85">
        <v>16.4</v>
      </c>
      <c r="J85">
        <v>36.7</v>
      </c>
      <c r="L85">
        <v>60.4</v>
      </c>
    </row>
    <row r="86" spans="1:12">
      <c r="A86" t="str">
        <f>"881140"</f>
        <v>881140</v>
      </c>
      <c r="B86" t="s">
        <v>97</v>
      </c>
      <c r="C86">
        <v>2.05</v>
      </c>
      <c r="D86">
        <v>664.5</v>
      </c>
      <c r="E86">
        <v>1888262784</v>
      </c>
      <c r="F86">
        <v>10.1</v>
      </c>
      <c r="H86">
        <v>16.1</v>
      </c>
      <c r="J86">
        <v>18.3</v>
      </c>
      <c r="L86">
        <v>55.4</v>
      </c>
    </row>
    <row r="87" spans="1:12">
      <c r="A87" t="str">
        <f>"881380"</f>
        <v>881380</v>
      </c>
      <c r="B87" t="s">
        <v>98</v>
      </c>
      <c r="C87">
        <v>1.53</v>
      </c>
      <c r="D87">
        <v>1690.26</v>
      </c>
      <c r="E87">
        <v>5266971648</v>
      </c>
      <c r="F87">
        <v>12.1</v>
      </c>
      <c r="H87">
        <v>15.6</v>
      </c>
      <c r="J87">
        <v>10</v>
      </c>
      <c r="L87">
        <v>11.5</v>
      </c>
    </row>
    <row r="88" spans="1:12">
      <c r="A88" t="str">
        <f>"881432"</f>
        <v>881432</v>
      </c>
      <c r="B88" t="s">
        <v>99</v>
      </c>
      <c r="C88">
        <v>2.18</v>
      </c>
      <c r="D88">
        <v>1506.66</v>
      </c>
      <c r="E88">
        <v>4773165056</v>
      </c>
      <c r="F88">
        <v>19.6</v>
      </c>
      <c r="H88">
        <v>15.4</v>
      </c>
      <c r="J88">
        <v>17.1</v>
      </c>
      <c r="L88">
        <v>70.2</v>
      </c>
    </row>
    <row r="89" spans="1:12">
      <c r="A89" t="str">
        <f>"881355"</f>
        <v>881355</v>
      </c>
      <c r="B89" t="s">
        <v>100</v>
      </c>
      <c r="C89">
        <v>1.96</v>
      </c>
      <c r="D89">
        <v>1053.66</v>
      </c>
      <c r="E89">
        <v>67612053504</v>
      </c>
      <c r="F89">
        <v>3</v>
      </c>
      <c r="H89">
        <v>14.6</v>
      </c>
      <c r="J89">
        <v>4</v>
      </c>
      <c r="L89">
        <v>7.3</v>
      </c>
    </row>
    <row r="90" spans="1:12">
      <c r="A90" t="str">
        <f>"881194"</f>
        <v>881194</v>
      </c>
      <c r="B90" t="s">
        <v>101</v>
      </c>
      <c r="C90">
        <v>0.91</v>
      </c>
      <c r="D90">
        <v>950.42</v>
      </c>
      <c r="E90">
        <v>1095750400</v>
      </c>
      <c r="F90">
        <v>7.8</v>
      </c>
      <c r="H90">
        <v>13.8</v>
      </c>
      <c r="J90">
        <v>44.5</v>
      </c>
      <c r="L90">
        <v>70.5</v>
      </c>
    </row>
    <row r="91" spans="1:12">
      <c r="A91" t="str">
        <f>"881180"</f>
        <v>881180</v>
      </c>
      <c r="B91" t="s">
        <v>102</v>
      </c>
      <c r="C91">
        <v>1.14</v>
      </c>
      <c r="D91">
        <v>995.85</v>
      </c>
      <c r="E91">
        <v>1469874944</v>
      </c>
      <c r="F91">
        <v>17.6</v>
      </c>
      <c r="H91">
        <v>13.6</v>
      </c>
      <c r="J91">
        <v>26.4</v>
      </c>
      <c r="L91">
        <v>31.7</v>
      </c>
    </row>
    <row r="92" spans="1:13">
      <c r="A92" t="str">
        <f>"881389"</f>
        <v>881389</v>
      </c>
      <c r="B92" t="s">
        <v>103</v>
      </c>
      <c r="C92">
        <v>0.05</v>
      </c>
      <c r="D92">
        <v>1463.09</v>
      </c>
      <c r="E92">
        <v>6817048576</v>
      </c>
      <c r="F92">
        <v>30.3</v>
      </c>
      <c r="H92">
        <v>13.3</v>
      </c>
      <c r="J92">
        <v>70.5</v>
      </c>
      <c r="L92">
        <v>92.4</v>
      </c>
      <c r="M92">
        <v>92.4</v>
      </c>
    </row>
    <row r="93" spans="1:12">
      <c r="A93" t="str">
        <f>"881384"</f>
        <v>881384</v>
      </c>
      <c r="B93" t="s">
        <v>104</v>
      </c>
      <c r="C93">
        <v>1.31</v>
      </c>
      <c r="D93">
        <v>1342.48</v>
      </c>
      <c r="E93">
        <v>1840812800</v>
      </c>
      <c r="F93">
        <v>11.8</v>
      </c>
      <c r="H93">
        <v>12.8</v>
      </c>
      <c r="J93">
        <v>3.7</v>
      </c>
      <c r="L93">
        <v>3.7</v>
      </c>
    </row>
    <row r="94" spans="1:12">
      <c r="A94" t="str">
        <f>"881428"</f>
        <v>881428</v>
      </c>
      <c r="B94" t="s">
        <v>105</v>
      </c>
      <c r="C94">
        <v>0.82</v>
      </c>
      <c r="D94">
        <v>811.75</v>
      </c>
      <c r="E94">
        <v>1863021952</v>
      </c>
      <c r="F94">
        <v>9</v>
      </c>
      <c r="H94">
        <v>12.3</v>
      </c>
      <c r="J94">
        <v>13.8</v>
      </c>
      <c r="L94">
        <v>19.6</v>
      </c>
    </row>
    <row r="95" spans="1:12">
      <c r="A95" t="str">
        <f>"881415"</f>
        <v>881415</v>
      </c>
      <c r="B95" t="s">
        <v>106</v>
      </c>
      <c r="C95">
        <v>2.82</v>
      </c>
      <c r="D95">
        <v>1401.59</v>
      </c>
      <c r="E95">
        <v>4198802688</v>
      </c>
      <c r="F95">
        <v>22.7</v>
      </c>
      <c r="H95">
        <v>11.6</v>
      </c>
      <c r="J95">
        <v>55.6</v>
      </c>
      <c r="L95">
        <v>76.3</v>
      </c>
    </row>
    <row r="96" spans="1:12">
      <c r="A96" t="str">
        <f>"881352"</f>
        <v>881352</v>
      </c>
      <c r="B96" t="s">
        <v>107</v>
      </c>
      <c r="C96">
        <v>0.55</v>
      </c>
      <c r="D96">
        <v>1098.51</v>
      </c>
      <c r="E96">
        <v>17027707904</v>
      </c>
      <c r="F96">
        <v>12.3</v>
      </c>
      <c r="H96">
        <v>10.8</v>
      </c>
      <c r="J96">
        <v>19.3</v>
      </c>
      <c r="L96">
        <v>17.6</v>
      </c>
    </row>
    <row r="97" spans="1:12">
      <c r="A97" t="str">
        <f>"881151"</f>
        <v>881151</v>
      </c>
      <c r="B97" t="s">
        <v>108</v>
      </c>
      <c r="C97">
        <v>1.95</v>
      </c>
      <c r="D97">
        <v>1046.35</v>
      </c>
      <c r="E97">
        <v>4406156800</v>
      </c>
      <c r="F97">
        <v>42.1</v>
      </c>
      <c r="H97">
        <v>10.3</v>
      </c>
      <c r="J97">
        <v>56.1</v>
      </c>
      <c r="L97">
        <v>74.3</v>
      </c>
    </row>
    <row r="98" spans="1:13">
      <c r="A98" t="str">
        <f>"881442"</f>
        <v>881442</v>
      </c>
      <c r="B98" t="s">
        <v>109</v>
      </c>
      <c r="C98">
        <v>0.97</v>
      </c>
      <c r="D98">
        <v>1372.04</v>
      </c>
      <c r="E98">
        <v>3943451392</v>
      </c>
      <c r="F98">
        <v>13.3</v>
      </c>
      <c r="H98">
        <v>10.1</v>
      </c>
      <c r="J98">
        <v>59.9</v>
      </c>
      <c r="L98">
        <v>91.6</v>
      </c>
      <c r="M98">
        <v>91.6</v>
      </c>
    </row>
    <row r="99" spans="1:13">
      <c r="A99" t="str">
        <f>"881119"</f>
        <v>881119</v>
      </c>
      <c r="B99" t="s">
        <v>110</v>
      </c>
      <c r="C99">
        <v>3.36</v>
      </c>
      <c r="D99">
        <v>818.14</v>
      </c>
      <c r="E99">
        <v>4439090176</v>
      </c>
      <c r="F99">
        <v>5.8</v>
      </c>
      <c r="H99">
        <v>9.8</v>
      </c>
      <c r="J99">
        <v>58.6</v>
      </c>
      <c r="L99">
        <v>90.4</v>
      </c>
      <c r="M99">
        <v>90.4</v>
      </c>
    </row>
    <row r="100" spans="1:12">
      <c r="A100" t="str">
        <f>"881252"</f>
        <v>881252</v>
      </c>
      <c r="B100" t="s">
        <v>111</v>
      </c>
      <c r="C100">
        <v>1.7</v>
      </c>
      <c r="D100">
        <v>973.7</v>
      </c>
      <c r="E100">
        <v>4012773120</v>
      </c>
      <c r="F100">
        <v>24.4</v>
      </c>
      <c r="H100">
        <v>9.5</v>
      </c>
      <c r="J100">
        <v>17.8</v>
      </c>
      <c r="L100">
        <v>71.2</v>
      </c>
    </row>
    <row r="101" spans="1:12">
      <c r="A101" t="str">
        <f>"881207"</f>
        <v>881207</v>
      </c>
      <c r="B101" t="s">
        <v>112</v>
      </c>
      <c r="C101">
        <v>1.76</v>
      </c>
      <c r="D101">
        <v>784.89</v>
      </c>
      <c r="E101">
        <v>2973965056</v>
      </c>
      <c r="F101">
        <v>14.1</v>
      </c>
      <c r="H101">
        <v>9.3</v>
      </c>
      <c r="J101">
        <v>2.2</v>
      </c>
      <c r="L101">
        <v>14.1</v>
      </c>
    </row>
    <row r="102" spans="1:12">
      <c r="A102" t="str">
        <f>"881406"</f>
        <v>881406</v>
      </c>
      <c r="B102" t="s">
        <v>113</v>
      </c>
      <c r="C102">
        <v>1.43</v>
      </c>
      <c r="D102">
        <v>1082.89</v>
      </c>
      <c r="E102">
        <v>3877574656</v>
      </c>
      <c r="F102">
        <v>9.3</v>
      </c>
      <c r="H102">
        <v>9</v>
      </c>
      <c r="J102">
        <v>49.6</v>
      </c>
      <c r="L102">
        <v>84.8</v>
      </c>
    </row>
    <row r="103" spans="1:12">
      <c r="A103" t="str">
        <f>"881144"</f>
        <v>881144</v>
      </c>
      <c r="B103" t="s">
        <v>114</v>
      </c>
      <c r="C103">
        <v>2.56</v>
      </c>
      <c r="D103">
        <v>1091.64</v>
      </c>
      <c r="E103">
        <v>4306283520</v>
      </c>
      <c r="F103">
        <v>6</v>
      </c>
      <c r="H103">
        <v>8.5</v>
      </c>
      <c r="J103">
        <v>5.7</v>
      </c>
      <c r="L103">
        <v>78.5</v>
      </c>
    </row>
    <row r="104" spans="1:12">
      <c r="A104" t="str">
        <f>"881016"</f>
        <v>881016</v>
      </c>
      <c r="B104" t="s">
        <v>115</v>
      </c>
      <c r="C104">
        <v>1.59</v>
      </c>
      <c r="D104">
        <v>673.91</v>
      </c>
      <c r="E104">
        <v>1737937152</v>
      </c>
      <c r="F104">
        <v>2.7</v>
      </c>
      <c r="H104">
        <v>8.3</v>
      </c>
      <c r="J104">
        <v>17.3</v>
      </c>
      <c r="L104">
        <v>15.3</v>
      </c>
    </row>
    <row r="105" spans="1:12">
      <c r="A105" t="str">
        <f>"881418"</f>
        <v>881418</v>
      </c>
      <c r="B105" t="s">
        <v>116</v>
      </c>
      <c r="C105">
        <v>1.12</v>
      </c>
      <c r="D105">
        <v>762.36</v>
      </c>
      <c r="E105">
        <v>12422308864</v>
      </c>
      <c r="F105">
        <v>17.9</v>
      </c>
      <c r="H105">
        <v>7.5</v>
      </c>
      <c r="J105">
        <v>7.8</v>
      </c>
      <c r="L105">
        <v>36.2</v>
      </c>
    </row>
    <row r="106" spans="1:12">
      <c r="A106" t="str">
        <f>"881326"</f>
        <v>881326</v>
      </c>
      <c r="B106" t="s">
        <v>117</v>
      </c>
      <c r="C106">
        <v>-0.3</v>
      </c>
      <c r="D106">
        <v>1924.83</v>
      </c>
      <c r="E106">
        <v>49737289728</v>
      </c>
      <c r="F106">
        <v>27.2</v>
      </c>
      <c r="H106">
        <v>7.3</v>
      </c>
      <c r="J106">
        <v>22.1</v>
      </c>
      <c r="L106">
        <v>18.8</v>
      </c>
    </row>
    <row r="107" spans="1:12">
      <c r="A107" t="str">
        <f>"881256"</f>
        <v>881256</v>
      </c>
      <c r="B107" t="s">
        <v>118</v>
      </c>
      <c r="C107">
        <v>1.34</v>
      </c>
      <c r="D107">
        <v>898.24</v>
      </c>
      <c r="E107">
        <v>7651914752</v>
      </c>
      <c r="F107">
        <v>7.5</v>
      </c>
      <c r="H107">
        <v>7</v>
      </c>
      <c r="J107">
        <v>39.5</v>
      </c>
      <c r="L107">
        <v>72</v>
      </c>
    </row>
    <row r="108" spans="1:12">
      <c r="A108" t="str">
        <f>"881373"</f>
        <v>881373</v>
      </c>
      <c r="B108" t="s">
        <v>119</v>
      </c>
      <c r="C108">
        <v>0.69</v>
      </c>
      <c r="D108">
        <v>1305.62</v>
      </c>
      <c r="E108">
        <v>5929435136</v>
      </c>
      <c r="F108">
        <v>10.8</v>
      </c>
      <c r="H108">
        <v>6.8</v>
      </c>
      <c r="J108">
        <v>3.5</v>
      </c>
      <c r="L108">
        <v>1.7</v>
      </c>
    </row>
    <row r="109" spans="1:12">
      <c r="A109" t="str">
        <f>"881394"</f>
        <v>881394</v>
      </c>
      <c r="B109" t="s">
        <v>120</v>
      </c>
      <c r="C109">
        <v>1.15</v>
      </c>
      <c r="D109">
        <v>1030.41</v>
      </c>
      <c r="E109">
        <v>24136992768</v>
      </c>
      <c r="F109">
        <v>2.2</v>
      </c>
      <c r="H109">
        <v>6.5</v>
      </c>
      <c r="J109">
        <v>8.5</v>
      </c>
      <c r="L109">
        <v>56.9</v>
      </c>
    </row>
    <row r="110" spans="1:12">
      <c r="A110" t="str">
        <f>"881422"</f>
        <v>881422</v>
      </c>
      <c r="B110" t="s">
        <v>121</v>
      </c>
      <c r="C110">
        <v>2.24</v>
      </c>
      <c r="D110">
        <v>860</v>
      </c>
      <c r="E110">
        <v>1158428672</v>
      </c>
      <c r="F110">
        <v>14.8</v>
      </c>
      <c r="H110">
        <v>5.8</v>
      </c>
      <c r="J110">
        <v>10.3</v>
      </c>
      <c r="L110">
        <v>17.1</v>
      </c>
    </row>
    <row r="111" spans="1:12">
      <c r="A111" t="str">
        <f>"881262"</f>
        <v>881262</v>
      </c>
      <c r="B111" t="s">
        <v>122</v>
      </c>
      <c r="C111">
        <v>0.62</v>
      </c>
      <c r="D111">
        <v>705.33</v>
      </c>
      <c r="E111">
        <v>48584331264</v>
      </c>
      <c r="F111">
        <v>66.9</v>
      </c>
      <c r="H111">
        <v>5.3</v>
      </c>
      <c r="J111">
        <v>60.7</v>
      </c>
      <c r="L111">
        <v>83.1</v>
      </c>
    </row>
    <row r="112" spans="1:12">
      <c r="A112" t="str">
        <f>"881205"</f>
        <v>881205</v>
      </c>
      <c r="B112" t="s">
        <v>123</v>
      </c>
      <c r="C112">
        <v>-0.12</v>
      </c>
      <c r="D112">
        <v>690.46</v>
      </c>
      <c r="E112">
        <v>1464260480</v>
      </c>
      <c r="F112">
        <v>7.3</v>
      </c>
      <c r="H112">
        <v>5</v>
      </c>
      <c r="J112">
        <v>12.3</v>
      </c>
      <c r="L112">
        <v>2.2</v>
      </c>
    </row>
    <row r="113" spans="1:12">
      <c r="A113" t="str">
        <f>"881227"</f>
        <v>881227</v>
      </c>
      <c r="B113" t="s">
        <v>124</v>
      </c>
      <c r="C113">
        <v>2.13</v>
      </c>
      <c r="D113">
        <v>1268.16</v>
      </c>
      <c r="E113">
        <v>2492064000</v>
      </c>
      <c r="F113">
        <v>4.2</v>
      </c>
      <c r="H113">
        <v>4.5</v>
      </c>
      <c r="J113">
        <v>22.6</v>
      </c>
      <c r="L113">
        <v>27.7</v>
      </c>
    </row>
    <row r="114" spans="1:12">
      <c r="A114" t="str">
        <f>"881200"</f>
        <v>881200</v>
      </c>
      <c r="B114" t="s">
        <v>125</v>
      </c>
      <c r="C114">
        <v>0.88</v>
      </c>
      <c r="D114">
        <v>1150.04</v>
      </c>
      <c r="E114">
        <v>4994745856</v>
      </c>
      <c r="F114">
        <v>10.3</v>
      </c>
      <c r="H114">
        <v>4.2</v>
      </c>
      <c r="J114">
        <v>6.8</v>
      </c>
      <c r="L114">
        <v>52.1</v>
      </c>
    </row>
    <row r="115" spans="1:12">
      <c r="A115" t="str">
        <f>"881115"</f>
        <v>881115</v>
      </c>
      <c r="B115" t="s">
        <v>126</v>
      </c>
      <c r="C115">
        <v>-0.4</v>
      </c>
      <c r="D115">
        <v>2182.74</v>
      </c>
      <c r="E115">
        <v>3569591296</v>
      </c>
      <c r="F115">
        <v>100</v>
      </c>
      <c r="G115">
        <v>100</v>
      </c>
      <c r="H115">
        <v>3.7</v>
      </c>
      <c r="J115">
        <v>96.2</v>
      </c>
      <c r="K115">
        <v>96.2</v>
      </c>
      <c r="L115">
        <v>88.4</v>
      </c>
    </row>
    <row r="116" spans="1:12">
      <c r="A116" t="str">
        <f>"881204"</f>
        <v>881204</v>
      </c>
      <c r="B116" t="s">
        <v>127</v>
      </c>
      <c r="C116">
        <v>1.09</v>
      </c>
      <c r="D116">
        <v>1318.92</v>
      </c>
      <c r="E116">
        <v>2811339776</v>
      </c>
      <c r="F116">
        <v>0.5</v>
      </c>
      <c r="H116">
        <v>3.5</v>
      </c>
      <c r="J116">
        <v>2.7</v>
      </c>
      <c r="L116">
        <v>49.3</v>
      </c>
    </row>
    <row r="117" spans="1:12">
      <c r="A117" t="str">
        <f>"881116"</f>
        <v>881116</v>
      </c>
      <c r="B117" t="s">
        <v>128</v>
      </c>
      <c r="C117">
        <v>1.72</v>
      </c>
      <c r="D117">
        <v>1028.09</v>
      </c>
      <c r="E117">
        <v>1234683136</v>
      </c>
      <c r="F117">
        <v>36.3</v>
      </c>
      <c r="H117">
        <v>3.2</v>
      </c>
      <c r="J117">
        <v>52.6</v>
      </c>
      <c r="L117">
        <v>58.9</v>
      </c>
    </row>
    <row r="118" spans="1:12">
      <c r="A118" t="str">
        <f>"881257"</f>
        <v>881257</v>
      </c>
      <c r="B118" t="s">
        <v>129</v>
      </c>
      <c r="C118">
        <v>1.68</v>
      </c>
      <c r="D118">
        <v>429.31</v>
      </c>
      <c r="E118">
        <v>487324832</v>
      </c>
      <c r="F118">
        <v>0.2</v>
      </c>
      <c r="H118">
        <v>2.7</v>
      </c>
      <c r="J118">
        <v>11.8</v>
      </c>
      <c r="L118">
        <v>21.9</v>
      </c>
    </row>
    <row r="119" spans="1:12">
      <c r="A119" t="str">
        <f>"881446"</f>
        <v>881446</v>
      </c>
      <c r="B119" t="s">
        <v>130</v>
      </c>
      <c r="C119">
        <v>1.17</v>
      </c>
      <c r="D119">
        <v>952.33</v>
      </c>
      <c r="E119">
        <v>5750766592</v>
      </c>
      <c r="F119">
        <v>34</v>
      </c>
      <c r="H119">
        <v>2.5</v>
      </c>
      <c r="J119">
        <v>7</v>
      </c>
      <c r="L119">
        <v>2</v>
      </c>
    </row>
    <row r="120" spans="1:12">
      <c r="A120" t="str">
        <f>"881130"</f>
        <v>881130</v>
      </c>
      <c r="B120" t="s">
        <v>131</v>
      </c>
      <c r="C120">
        <v>0.83</v>
      </c>
      <c r="D120">
        <v>656.46</v>
      </c>
      <c r="E120">
        <v>11032116224</v>
      </c>
      <c r="F120">
        <v>4.5</v>
      </c>
      <c r="H120">
        <v>2.2</v>
      </c>
      <c r="J120">
        <v>10.5</v>
      </c>
      <c r="L120">
        <v>56.1</v>
      </c>
    </row>
    <row r="121" spans="1:12">
      <c r="A121" t="str">
        <f>"881136"</f>
        <v>881136</v>
      </c>
      <c r="B121" t="s">
        <v>132</v>
      </c>
      <c r="C121">
        <v>1.97</v>
      </c>
      <c r="D121">
        <v>956.28</v>
      </c>
      <c r="E121">
        <v>4420897280</v>
      </c>
      <c r="F121">
        <v>5.5</v>
      </c>
      <c r="H121">
        <v>2</v>
      </c>
      <c r="J121">
        <v>12.8</v>
      </c>
      <c r="L121">
        <v>81.6</v>
      </c>
    </row>
    <row r="122" spans="1:12">
      <c r="A122" t="str">
        <f>"881184"</f>
        <v>881184</v>
      </c>
      <c r="B122" t="s">
        <v>133</v>
      </c>
      <c r="C122">
        <v>0.66</v>
      </c>
      <c r="D122">
        <v>1308.35</v>
      </c>
      <c r="E122">
        <v>3718749952</v>
      </c>
      <c r="F122">
        <v>21.9</v>
      </c>
      <c r="H122">
        <v>1.7</v>
      </c>
      <c r="J122">
        <v>33.2</v>
      </c>
      <c r="L122">
        <v>67.7</v>
      </c>
    </row>
    <row r="123" spans="1:12">
      <c r="A123" t="str">
        <f>"881234"</f>
        <v>881234</v>
      </c>
      <c r="B123" t="s">
        <v>134</v>
      </c>
      <c r="C123">
        <v>3.17</v>
      </c>
      <c r="D123">
        <v>664.99</v>
      </c>
      <c r="E123">
        <v>18303791104</v>
      </c>
      <c r="F123">
        <v>1.5</v>
      </c>
      <c r="H123">
        <v>1.5</v>
      </c>
      <c r="J123">
        <v>11.3</v>
      </c>
      <c r="L123">
        <v>68.5</v>
      </c>
    </row>
    <row r="124" spans="1:12">
      <c r="A124" t="str">
        <f>"881190"</f>
        <v>881190</v>
      </c>
      <c r="B124" t="s">
        <v>135</v>
      </c>
      <c r="C124">
        <v>1.24</v>
      </c>
      <c r="D124">
        <v>727.34</v>
      </c>
      <c r="E124">
        <v>2413982208</v>
      </c>
      <c r="F124">
        <v>1.7</v>
      </c>
      <c r="H124">
        <v>1.2</v>
      </c>
      <c r="J124">
        <v>11.5</v>
      </c>
      <c r="L124">
        <v>40</v>
      </c>
    </row>
    <row r="125" spans="1:12">
      <c r="A125" t="str">
        <f>"881231"</f>
        <v>881231</v>
      </c>
      <c r="B125" t="s">
        <v>136</v>
      </c>
      <c r="C125">
        <v>3.06</v>
      </c>
      <c r="D125">
        <v>1026.72</v>
      </c>
      <c r="E125">
        <v>23993049088</v>
      </c>
      <c r="F125">
        <v>1.2</v>
      </c>
      <c r="H125">
        <v>1</v>
      </c>
      <c r="J125">
        <v>23.9</v>
      </c>
      <c r="L125">
        <v>70.7</v>
      </c>
    </row>
    <row r="126" spans="1:12">
      <c r="A126" t="str">
        <f>"881212"</f>
        <v>881212</v>
      </c>
      <c r="B126" t="s">
        <v>137</v>
      </c>
      <c r="C126">
        <v>-0.19</v>
      </c>
      <c r="D126">
        <v>739.85</v>
      </c>
      <c r="E126">
        <v>8255429120</v>
      </c>
      <c r="F126">
        <v>0.7</v>
      </c>
      <c r="H126">
        <v>0.7</v>
      </c>
      <c r="J126">
        <v>29.9</v>
      </c>
      <c r="L126">
        <v>84.6</v>
      </c>
    </row>
    <row r="127" spans="1:13">
      <c r="A127" t="str">
        <f>"881386"</f>
        <v>881386</v>
      </c>
      <c r="B127" t="s">
        <v>138</v>
      </c>
      <c r="C127">
        <v>-0.01</v>
      </c>
      <c r="D127">
        <v>1722.66</v>
      </c>
      <c r="E127">
        <v>13465081856</v>
      </c>
      <c r="F127">
        <v>11.1</v>
      </c>
      <c r="H127">
        <v>0.5</v>
      </c>
      <c r="J127">
        <v>45.8</v>
      </c>
      <c r="L127">
        <v>95.9</v>
      </c>
      <c r="M127">
        <v>95.9</v>
      </c>
    </row>
    <row r="128" spans="1:13">
      <c r="A128" t="str">
        <f>"881344"</f>
        <v>881344</v>
      </c>
      <c r="B128" t="s">
        <v>139</v>
      </c>
      <c r="C128">
        <v>0.5</v>
      </c>
      <c r="D128">
        <v>1440.13</v>
      </c>
      <c r="E128">
        <v>4138300416</v>
      </c>
      <c r="F128">
        <v>2</v>
      </c>
      <c r="H128">
        <v>0.2</v>
      </c>
      <c r="J128">
        <v>42.3</v>
      </c>
      <c r="L128">
        <v>93.4</v>
      </c>
      <c r="M128">
        <v>93.4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行业_20260306_2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2026-03-06T12:27:40Z</dcterms:created>
  <dcterms:modified xsi:type="dcterms:W3CDTF">2026-03-06T12:28:07Z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