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<sst xmlns="http://schemas.openxmlformats.org/spreadsheetml/2006/main" count="282" uniqueCount="282">
  <si>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</si>
  <si>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</si>
  <si>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</si>
  <si>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</si>
  <si>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</si>
  <si>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</si>
  <si>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</si>
  <si>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</si>
  <si>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</si>
  <si>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</si>
  <si>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</si>
  <si>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</si>
  <si>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</si>
  <si>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可燃冰</t>
  </si>
  <si>
    <t>页岩气</t>
  </si>
  <si>
    <t>培育钻石</t>
  </si>
  <si>
    <t>磷概念</t>
  </si>
  <si>
    <t>草甘膦</t>
  </si>
  <si>
    <t>化肥概念</t>
  </si>
  <si>
    <t>天然气</t>
  </si>
  <si>
    <t>钛金属</t>
  </si>
  <si>
    <t>黄金概念</t>
  </si>
  <si>
    <t>钒电池</t>
  </si>
  <si>
    <t>稀缺资源</t>
  </si>
  <si>
    <t>虫害防治</t>
  </si>
  <si>
    <t>特高压</t>
  </si>
  <si>
    <t>光通信</t>
  </si>
  <si>
    <t>盐湖提锂</t>
  </si>
  <si>
    <t>地热能</t>
  </si>
  <si>
    <t>锂矿</t>
  </si>
  <si>
    <t>复合铜箔</t>
  </si>
  <si>
    <t>超临界发电</t>
  </si>
  <si>
    <t>聚氨酯</t>
  </si>
  <si>
    <t>PVDF概念</t>
  </si>
  <si>
    <t>海洋经济</t>
  </si>
  <si>
    <t>有机硅概念</t>
  </si>
  <si>
    <t>镍金属</t>
  </si>
  <si>
    <t>医废处理</t>
  </si>
  <si>
    <t>PCB概念</t>
  </si>
  <si>
    <t>一带一路</t>
  </si>
  <si>
    <t>钴金属</t>
  </si>
  <si>
    <t>风电</t>
  </si>
  <si>
    <t>航运概念</t>
  </si>
  <si>
    <t>工业气体</t>
  </si>
  <si>
    <t>生物质能</t>
  </si>
  <si>
    <t>稀土永磁</t>
  </si>
  <si>
    <t>光热发电</t>
  </si>
  <si>
    <t>种业</t>
  </si>
  <si>
    <t>玻璃基板</t>
  </si>
  <si>
    <t>可控核聚变</t>
  </si>
  <si>
    <t>氢能源</t>
  </si>
  <si>
    <t>供销社</t>
  </si>
  <si>
    <t>超级电容</t>
  </si>
  <si>
    <t>分散染料</t>
  </si>
  <si>
    <t>地下管网</t>
  </si>
  <si>
    <t>核污染防治</t>
  </si>
  <si>
    <t>石墨烯</t>
  </si>
  <si>
    <t>核电核能</t>
  </si>
  <si>
    <t>氟概念</t>
  </si>
  <si>
    <t>新材料</t>
  </si>
  <si>
    <t>超导概念</t>
  </si>
  <si>
    <t>粮食概念</t>
  </si>
  <si>
    <t>赛马概念</t>
  </si>
  <si>
    <t>代糖概念</t>
  </si>
  <si>
    <t>MicroLED</t>
  </si>
  <si>
    <t>绿色电力</t>
  </si>
  <si>
    <t>智能电网</t>
  </si>
  <si>
    <t>雅江水电概念</t>
  </si>
  <si>
    <t>碳中和</t>
  </si>
  <si>
    <t>CPO概念</t>
  </si>
  <si>
    <t>POE胶膜</t>
  </si>
  <si>
    <t>节能环保</t>
  </si>
  <si>
    <t>土地流转</t>
  </si>
  <si>
    <t>降解塑料</t>
  </si>
  <si>
    <t>中俄贸易</t>
  </si>
  <si>
    <t>折叠屏</t>
  </si>
  <si>
    <t>高铁</t>
  </si>
  <si>
    <t>高压快充</t>
  </si>
  <si>
    <t>热泵概念</t>
  </si>
  <si>
    <t>锂电池概念</t>
  </si>
  <si>
    <t>光刻机</t>
  </si>
  <si>
    <t>光伏</t>
  </si>
  <si>
    <t>MiniLED</t>
  </si>
  <si>
    <t>BIPV概念</t>
  </si>
  <si>
    <t>碳纤维</t>
  </si>
  <si>
    <t>燃料电池</t>
  </si>
  <si>
    <t>绿色建筑</t>
  </si>
  <si>
    <t>储能</t>
  </si>
  <si>
    <t>虚拟电厂</t>
  </si>
  <si>
    <t>一体压铸</t>
  </si>
  <si>
    <t>OLED概念</t>
  </si>
  <si>
    <t>PPP概念</t>
  </si>
  <si>
    <t>水产品</t>
  </si>
  <si>
    <t>雄安新区</t>
  </si>
  <si>
    <t>垃圾分类</t>
  </si>
  <si>
    <t>固态电池</t>
  </si>
  <si>
    <t>充电桩</t>
  </si>
  <si>
    <t>水利建设</t>
  </si>
  <si>
    <t>第三代半导体</t>
  </si>
  <si>
    <t>新型城镇</t>
  </si>
  <si>
    <t>高端装备</t>
  </si>
  <si>
    <t>NMN概念</t>
  </si>
  <si>
    <t>中特估</t>
  </si>
  <si>
    <t>动力电池回收</t>
  </si>
  <si>
    <t>3D打印</t>
  </si>
  <si>
    <t>换电概念</t>
  </si>
  <si>
    <t>汽车拆解</t>
  </si>
  <si>
    <t>风沙治理</t>
  </si>
  <si>
    <t>铜缆高速连接</t>
  </si>
  <si>
    <t>民营医院</t>
  </si>
  <si>
    <t>装配式建筑</t>
  </si>
  <si>
    <t>军贸概念</t>
  </si>
  <si>
    <t>地摊经济</t>
  </si>
  <si>
    <t>存储芯片</t>
  </si>
  <si>
    <t>口罩防护</t>
  </si>
  <si>
    <t>苹果概念</t>
  </si>
  <si>
    <t>电子纸</t>
  </si>
  <si>
    <t>乡村振兴</t>
  </si>
  <si>
    <t>6G概念</t>
  </si>
  <si>
    <t>军民融合</t>
  </si>
  <si>
    <t>新能源车</t>
  </si>
  <si>
    <t>消费电子概念</t>
  </si>
  <si>
    <t>5G概念</t>
  </si>
  <si>
    <t>先进封装</t>
  </si>
  <si>
    <t>大飞机</t>
  </si>
  <si>
    <t>钠电池</t>
  </si>
  <si>
    <t>人造肉</t>
  </si>
  <si>
    <t>BC电池</t>
  </si>
  <si>
    <t>毫米波雷达</t>
  </si>
  <si>
    <t>特斯拉概念</t>
  </si>
  <si>
    <t>芯片</t>
  </si>
  <si>
    <t>C2M概念</t>
  </si>
  <si>
    <t>汽车电子</t>
  </si>
  <si>
    <t>国防军工</t>
  </si>
  <si>
    <t>维生素</t>
  </si>
  <si>
    <t>冷链物流</t>
  </si>
  <si>
    <t>钙钛矿电池</t>
  </si>
  <si>
    <t>胎压监测</t>
  </si>
  <si>
    <t>工业母机</t>
  </si>
  <si>
    <t>粤港澳</t>
  </si>
  <si>
    <t>工业大麻</t>
  </si>
  <si>
    <t>商业航天</t>
  </si>
  <si>
    <t>合成生物</t>
  </si>
  <si>
    <t>含B股</t>
  </si>
  <si>
    <t>AI眼镜</t>
  </si>
  <si>
    <t>无人机</t>
  </si>
  <si>
    <t>机器人概念</t>
  </si>
  <si>
    <t>物业管理概念</t>
  </si>
  <si>
    <t>海峡西岸</t>
  </si>
  <si>
    <t>创投概念</t>
  </si>
  <si>
    <t>HJT电池</t>
  </si>
  <si>
    <t>智能穿戴</t>
  </si>
  <si>
    <t>TOPCon电池</t>
  </si>
  <si>
    <t>华为汽车</t>
  </si>
  <si>
    <t>次新股</t>
  </si>
  <si>
    <t>液冷服务器</t>
  </si>
  <si>
    <t>血氧仪</t>
  </si>
  <si>
    <t>数据中心</t>
  </si>
  <si>
    <t>ST板块</t>
  </si>
  <si>
    <t>智能家居</t>
  </si>
  <si>
    <t>华为海思</t>
  </si>
  <si>
    <t>医美概念</t>
  </si>
  <si>
    <t>幽门螺杆菌</t>
  </si>
  <si>
    <t>PEEK材料</t>
  </si>
  <si>
    <t>小米汽车概念</t>
  </si>
  <si>
    <t>博彩概念</t>
  </si>
  <si>
    <t>超清视频</t>
  </si>
  <si>
    <t>含H股</t>
  </si>
  <si>
    <t>无人驾驶</t>
  </si>
  <si>
    <t>基因概念</t>
  </si>
  <si>
    <t>宠物经济</t>
  </si>
  <si>
    <t>预制菜</t>
  </si>
  <si>
    <t>飞行汽车</t>
  </si>
  <si>
    <t>鸡肉</t>
  </si>
  <si>
    <t>婴童概念</t>
  </si>
  <si>
    <t>物联网</t>
  </si>
  <si>
    <t>无线耳机</t>
  </si>
  <si>
    <t>混合现实</t>
  </si>
  <si>
    <t>生物疫苗</t>
  </si>
  <si>
    <t>工业互联</t>
  </si>
  <si>
    <t>小米概念</t>
  </si>
  <si>
    <t>汽车热管理</t>
  </si>
  <si>
    <t>含可转债</t>
  </si>
  <si>
    <t>辅助生殖</t>
  </si>
  <si>
    <t>卫星导航</t>
  </si>
  <si>
    <t>猪肉</t>
  </si>
  <si>
    <t>肝炎概念</t>
  </si>
  <si>
    <t>新零售</t>
  </si>
  <si>
    <t>新型工业化</t>
  </si>
  <si>
    <t>养老概念</t>
  </si>
  <si>
    <t>跨境电商</t>
  </si>
  <si>
    <t>租购同权</t>
  </si>
  <si>
    <t>体育概念</t>
  </si>
  <si>
    <t>上海自贸</t>
  </si>
  <si>
    <t>低空经济</t>
  </si>
  <si>
    <t>AI手机PC</t>
  </si>
  <si>
    <t>机器视觉</t>
  </si>
  <si>
    <t>安防服务</t>
  </si>
  <si>
    <t>海南自贸</t>
  </si>
  <si>
    <t>创新药</t>
  </si>
  <si>
    <t>减速器</t>
  </si>
  <si>
    <t>烟草概念</t>
  </si>
  <si>
    <t>食品安全</t>
  </si>
  <si>
    <t>人形机器人</t>
  </si>
  <si>
    <t>EDA概念</t>
  </si>
  <si>
    <t>时空大数据</t>
  </si>
  <si>
    <t>新型烟草</t>
  </si>
  <si>
    <t>通达信88</t>
  </si>
  <si>
    <t>MCU芯片</t>
  </si>
  <si>
    <t>含GDR</t>
  </si>
  <si>
    <t>智能交通</t>
  </si>
  <si>
    <t>家庭医生</t>
  </si>
  <si>
    <t>智慧城市</t>
  </si>
  <si>
    <t>数字孪生</t>
  </si>
  <si>
    <t>免疫治疗</t>
  </si>
  <si>
    <t>仿制药</t>
  </si>
  <si>
    <t>汽车芯片</t>
  </si>
  <si>
    <t>智能医疗</t>
  </si>
  <si>
    <t>职业教育</t>
  </si>
  <si>
    <t>免税概念</t>
  </si>
  <si>
    <t>CXO概念</t>
  </si>
  <si>
    <t>白酒概念</t>
  </si>
  <si>
    <t>ETC概念</t>
  </si>
  <si>
    <t>网红经济</t>
  </si>
  <si>
    <t>旅游概念</t>
  </si>
  <si>
    <t>虚拟现实</t>
  </si>
  <si>
    <t>东数西算</t>
  </si>
  <si>
    <t>减肥药</t>
  </si>
  <si>
    <t>英伟达概念</t>
  </si>
  <si>
    <t>外骨骼机器人</t>
  </si>
  <si>
    <t>人工智能</t>
  </si>
  <si>
    <t>车联网</t>
  </si>
  <si>
    <t>人脑工程</t>
  </si>
  <si>
    <t>军工信息化</t>
  </si>
  <si>
    <t>星闪概念</t>
  </si>
  <si>
    <t>DeepSeek概念</t>
  </si>
  <si>
    <t>边缘计算</t>
  </si>
  <si>
    <t>操作系统</t>
  </si>
  <si>
    <t>AI医疗概念</t>
  </si>
  <si>
    <t>互联金融</t>
  </si>
  <si>
    <t>量子科技</t>
  </si>
  <si>
    <t>DRG-DIP</t>
  </si>
  <si>
    <t>元宇宙概念</t>
  </si>
  <si>
    <t>区块链</t>
  </si>
  <si>
    <t>数据要素</t>
  </si>
  <si>
    <t>云游戏</t>
  </si>
  <si>
    <t>大数据</t>
  </si>
  <si>
    <t>百度概念</t>
  </si>
  <si>
    <t>IP经济</t>
  </si>
  <si>
    <t>国产软件</t>
  </si>
  <si>
    <t>抖音概念</t>
  </si>
  <si>
    <t>国资云</t>
  </si>
  <si>
    <t>算力租赁</t>
  </si>
  <si>
    <t>数字货币</t>
  </si>
  <si>
    <t>腾讯概念</t>
  </si>
  <si>
    <t>跨境支付CIPS</t>
  </si>
  <si>
    <t>AI智能体</t>
  </si>
  <si>
    <t>信息安全</t>
  </si>
  <si>
    <t>电子身份证</t>
  </si>
  <si>
    <t>网络游戏</t>
  </si>
  <si>
    <t>云计算</t>
  </si>
  <si>
    <t>信创</t>
  </si>
  <si>
    <t>小红书概念</t>
  </si>
  <si>
    <t>阿里概念</t>
  </si>
  <si>
    <t>智慧政务</t>
  </si>
  <si>
    <t>华为鸿蒙</t>
  </si>
  <si>
    <t>工业软件</t>
  </si>
  <si>
    <t>NFT概念</t>
  </si>
  <si>
    <t>Web3概念</t>
  </si>
  <si>
    <t>AIGC概念</t>
  </si>
  <si>
    <t>ChatGPT概念</t>
  </si>
  <si>
    <t>数据确权</t>
  </si>
  <si>
    <t>远程办公</t>
  </si>
  <si>
    <t>华为算力</t>
  </si>
  <si>
    <t>财税数字化</t>
  </si>
  <si>
    <t>多模态AI</t>
  </si>
  <si>
    <t>知识付费</t>
  </si>
  <si>
    <t>数字水印</t>
  </si>
  <si>
    <t>知识产权</t>
  </si>
  <si>
    <t>智谱AI</t>
  </si>
  <si>
    <t>短剧游戏</t>
  </si>
  <si>
    <t>Sora概念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</si>
</sst>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8" borderId="3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11" fillId="7" borderId="1" applyNumberFormat="0" applyAlignment="0" applyProtection="0">
      <alignment vertical="center"/>
    </xf>
    <xf numFmtId="0" fontId="10" fillId="11" borderId="6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topLeftCell="A244" workbookViewId="0">
      <selection activeCell="Q263" sqref="Q263"/>
    </sheetView>
  </sheetViews>
  <sheetFormatPr defaultColWidth="9" defaultRowHeight="13.5"/>
  <cols>
    <col min="1" max="4" width="9" style="1"/>
    <col min="5" max="5" width="12.625" style="1"/>
    <col min="6" max="14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tr">
        <f>"880549"</f>
        <v>880549</v>
      </c>
      <c r="B2" s="1" t="s">
        <v>13</v>
      </c>
      <c r="C2" s="1">
        <v>7.57</v>
      </c>
      <c r="D2" s="1">
        <v>2392.37</v>
      </c>
      <c r="E2" s="1">
        <v>20735262720</v>
      </c>
      <c r="F2" s="1">
        <v>93.6</v>
      </c>
      <c r="G2" s="1">
        <v>93.6</v>
      </c>
      <c r="H2" s="1">
        <v>96.4</v>
      </c>
      <c r="I2" s="1">
        <v>96.4</v>
      </c>
      <c r="J2" s="1">
        <v>99.5</v>
      </c>
      <c r="K2" s="1">
        <v>99.5</v>
      </c>
      <c r="L2" s="1">
        <v>94.8</v>
      </c>
      <c r="M2" s="1">
        <v>94.8</v>
      </c>
    </row>
    <row r="3" spans="1:13">
      <c r="A3" s="1" t="str">
        <f>"880553"</f>
        <v>880553</v>
      </c>
      <c r="B3" s="1" t="s">
        <v>14</v>
      </c>
      <c r="C3" s="1">
        <v>6.46</v>
      </c>
      <c r="D3" s="1">
        <v>2319.78</v>
      </c>
      <c r="E3" s="1">
        <v>30196639744</v>
      </c>
      <c r="F3" s="1">
        <v>88</v>
      </c>
      <c r="H3" s="1">
        <v>75.2</v>
      </c>
      <c r="J3" s="1">
        <v>97.4</v>
      </c>
      <c r="K3" s="1">
        <v>97.4</v>
      </c>
      <c r="L3" s="1">
        <v>95.8</v>
      </c>
      <c r="M3" s="1">
        <v>95.8</v>
      </c>
    </row>
    <row r="4" spans="1:12">
      <c r="A4" s="1" t="str">
        <f>"880754"</f>
        <v>880754</v>
      </c>
      <c r="B4" s="1" t="s">
        <v>15</v>
      </c>
      <c r="C4" s="1">
        <v>6.34</v>
      </c>
      <c r="D4" s="1">
        <v>1910.83</v>
      </c>
      <c r="E4" s="1">
        <v>14887487488</v>
      </c>
      <c r="F4" s="1">
        <v>96.7</v>
      </c>
      <c r="G4" s="1">
        <v>96.7</v>
      </c>
      <c r="H4" s="1">
        <v>92</v>
      </c>
      <c r="I4" s="1">
        <v>92</v>
      </c>
      <c r="J4" s="1">
        <v>98.1</v>
      </c>
      <c r="K4" s="1">
        <v>98.1</v>
      </c>
      <c r="L4" s="1">
        <v>88.1</v>
      </c>
    </row>
    <row r="5" spans="1:13">
      <c r="A5" s="1" t="str">
        <f>"880715"</f>
        <v>880715</v>
      </c>
      <c r="B5" s="1" t="s">
        <v>16</v>
      </c>
      <c r="C5" s="1">
        <v>5.22</v>
      </c>
      <c r="D5" s="1">
        <v>3061.1</v>
      </c>
      <c r="E5" s="1">
        <v>40976535552</v>
      </c>
      <c r="F5" s="1">
        <v>92.9</v>
      </c>
      <c r="G5" s="1">
        <v>92.9</v>
      </c>
      <c r="H5" s="1">
        <v>54.2</v>
      </c>
      <c r="J5" s="1">
        <v>92.5</v>
      </c>
      <c r="K5" s="1">
        <v>92.5</v>
      </c>
      <c r="L5" s="1">
        <v>97.2</v>
      </c>
      <c r="M5" s="1">
        <v>97.2</v>
      </c>
    </row>
    <row r="6" spans="1:12">
      <c r="A6" s="1" t="str">
        <f>"880910"</f>
        <v>880910</v>
      </c>
      <c r="B6" s="1" t="s">
        <v>17</v>
      </c>
      <c r="C6" s="1">
        <v>5.11</v>
      </c>
      <c r="D6" s="1">
        <v>2140.26</v>
      </c>
      <c r="E6" s="1">
        <v>6651969024</v>
      </c>
      <c r="F6" s="1">
        <v>60.2</v>
      </c>
      <c r="H6" s="1">
        <v>48.3</v>
      </c>
      <c r="J6" s="1">
        <v>92.3</v>
      </c>
      <c r="K6" s="1">
        <v>92.3</v>
      </c>
      <c r="L6" s="1">
        <v>82</v>
      </c>
    </row>
    <row r="7" spans="1:13">
      <c r="A7" s="1" t="str">
        <f>"880618"</f>
        <v>880618</v>
      </c>
      <c r="B7" s="1" t="s">
        <v>18</v>
      </c>
      <c r="C7" s="1">
        <v>4.7</v>
      </c>
      <c r="D7" s="1">
        <v>1176.78</v>
      </c>
      <c r="E7" s="1">
        <v>34633015296</v>
      </c>
      <c r="F7" s="1">
        <v>78.2</v>
      </c>
      <c r="H7" s="1">
        <v>43.9</v>
      </c>
      <c r="J7" s="1">
        <v>88.1</v>
      </c>
      <c r="L7" s="1">
        <v>92.5</v>
      </c>
      <c r="M7" s="1">
        <v>92.5</v>
      </c>
    </row>
    <row r="8" spans="1:12">
      <c r="A8" s="1" t="str">
        <f>"880750"</f>
        <v>880750</v>
      </c>
      <c r="B8" s="1" t="s">
        <v>19</v>
      </c>
      <c r="C8" s="1">
        <v>4.53</v>
      </c>
      <c r="D8" s="1">
        <v>1526.97</v>
      </c>
      <c r="E8" s="1">
        <v>57411411968</v>
      </c>
      <c r="F8" s="1">
        <v>76.6</v>
      </c>
      <c r="H8" s="1">
        <v>62.3</v>
      </c>
      <c r="J8" s="1">
        <v>90.4</v>
      </c>
      <c r="K8" s="1">
        <v>90.4</v>
      </c>
      <c r="L8" s="1">
        <v>88.8</v>
      </c>
    </row>
    <row r="9" spans="1:13">
      <c r="A9" s="1" t="str">
        <f>"880922"</f>
        <v>880922</v>
      </c>
      <c r="B9" s="1" t="s">
        <v>20</v>
      </c>
      <c r="C9" s="1">
        <v>4.4</v>
      </c>
      <c r="D9" s="1">
        <v>1992.43</v>
      </c>
      <c r="E9" s="1">
        <v>13458226176</v>
      </c>
      <c r="F9" s="1">
        <v>86.9</v>
      </c>
      <c r="H9" s="1">
        <v>78.9</v>
      </c>
      <c r="J9" s="1">
        <v>89</v>
      </c>
      <c r="L9" s="1">
        <v>93</v>
      </c>
      <c r="M9" s="1">
        <v>93</v>
      </c>
    </row>
    <row r="10" spans="1:12">
      <c r="A10" s="1" t="str">
        <f>"880521"</f>
        <v>880521</v>
      </c>
      <c r="B10" s="1" t="s">
        <v>21</v>
      </c>
      <c r="C10" s="1">
        <v>3.88</v>
      </c>
      <c r="D10" s="1">
        <v>1988.27</v>
      </c>
      <c r="E10" s="1">
        <v>100159602688</v>
      </c>
      <c r="F10" s="1">
        <v>95.3</v>
      </c>
      <c r="G10" s="1">
        <v>95.3</v>
      </c>
      <c r="H10" s="1">
        <v>89.7</v>
      </c>
      <c r="J10" s="1">
        <v>94.4</v>
      </c>
      <c r="K10" s="1">
        <v>94.4</v>
      </c>
      <c r="L10" s="1">
        <v>65.2</v>
      </c>
    </row>
    <row r="11" spans="1:12">
      <c r="A11" s="1" t="str">
        <f>"880628"</f>
        <v>880628</v>
      </c>
      <c r="B11" s="1" t="s">
        <v>22</v>
      </c>
      <c r="C11" s="1">
        <v>3.74</v>
      </c>
      <c r="D11" s="1">
        <v>1540.45</v>
      </c>
      <c r="E11" s="1">
        <v>24816994304</v>
      </c>
      <c r="F11" s="1">
        <v>85.9</v>
      </c>
      <c r="H11" s="1">
        <v>73.1</v>
      </c>
      <c r="J11" s="1">
        <v>91.1</v>
      </c>
      <c r="K11" s="1">
        <v>91.1</v>
      </c>
      <c r="L11" s="1">
        <v>88.3</v>
      </c>
    </row>
    <row r="12" spans="1:13">
      <c r="A12" s="1" t="str">
        <f>"880505"</f>
        <v>880505</v>
      </c>
      <c r="B12" s="1" t="s">
        <v>23</v>
      </c>
      <c r="C12" s="1">
        <v>3.73</v>
      </c>
      <c r="D12" s="1">
        <v>1474.41</v>
      </c>
      <c r="E12" s="1">
        <v>86528770048</v>
      </c>
      <c r="F12" s="1">
        <v>97.4</v>
      </c>
      <c r="G12" s="1">
        <v>97.4</v>
      </c>
      <c r="H12" s="1">
        <v>89</v>
      </c>
      <c r="J12" s="1">
        <v>93.2</v>
      </c>
      <c r="K12" s="1">
        <v>93.2</v>
      </c>
      <c r="L12" s="1">
        <v>95.1</v>
      </c>
      <c r="M12" s="1">
        <v>95.1</v>
      </c>
    </row>
    <row r="13" spans="1:12">
      <c r="A13" s="1" t="str">
        <f>"880797"</f>
        <v>880797</v>
      </c>
      <c r="B13" s="1" t="s">
        <v>24</v>
      </c>
      <c r="C13" s="1">
        <v>3.71</v>
      </c>
      <c r="D13" s="1">
        <v>1599.14</v>
      </c>
      <c r="E13" s="1">
        <v>6669160448</v>
      </c>
      <c r="F13" s="1">
        <v>44.3</v>
      </c>
      <c r="H13" s="1">
        <v>46.2</v>
      </c>
      <c r="J13" s="1">
        <v>91.8</v>
      </c>
      <c r="K13" s="1">
        <v>91.8</v>
      </c>
      <c r="L13" s="1">
        <v>89.2</v>
      </c>
    </row>
    <row r="14" spans="1:13">
      <c r="A14" s="1" t="str">
        <f>"880964"</f>
        <v>880964</v>
      </c>
      <c r="B14" s="1" t="s">
        <v>25</v>
      </c>
      <c r="C14" s="1">
        <v>3.38</v>
      </c>
      <c r="D14" s="1">
        <v>3657.61</v>
      </c>
      <c r="E14" s="1">
        <v>101552447488</v>
      </c>
      <c r="F14" s="1">
        <v>91.3</v>
      </c>
      <c r="G14" s="1">
        <v>91.3</v>
      </c>
      <c r="H14" s="1">
        <v>95.3</v>
      </c>
      <c r="I14" s="1">
        <v>95.3</v>
      </c>
      <c r="J14" s="1">
        <v>81.1</v>
      </c>
      <c r="L14" s="1">
        <v>93.2</v>
      </c>
      <c r="M14" s="1">
        <v>93.2</v>
      </c>
    </row>
    <row r="15" spans="1:13">
      <c r="A15" s="1" t="str">
        <f>"880670"</f>
        <v>880670</v>
      </c>
      <c r="B15" s="1" t="s">
        <v>26</v>
      </c>
      <c r="C15" s="1">
        <v>3.32</v>
      </c>
      <c r="D15" s="1">
        <v>2365.22</v>
      </c>
      <c r="E15" s="1">
        <v>189533470720</v>
      </c>
      <c r="F15" s="1">
        <v>94.1</v>
      </c>
      <c r="G15" s="1">
        <v>94.1</v>
      </c>
      <c r="H15" s="1">
        <v>97.6</v>
      </c>
      <c r="I15" s="1">
        <v>97.6</v>
      </c>
      <c r="J15" s="1">
        <v>93.7</v>
      </c>
      <c r="K15" s="1">
        <v>93.7</v>
      </c>
      <c r="L15" s="1">
        <v>90.4</v>
      </c>
      <c r="M15" s="1">
        <v>90.4</v>
      </c>
    </row>
    <row r="16" spans="1:12">
      <c r="A16" s="1" t="str">
        <f>"880727"</f>
        <v>880727</v>
      </c>
      <c r="B16" s="1" t="s">
        <v>27</v>
      </c>
      <c r="C16" s="1">
        <v>3.18</v>
      </c>
      <c r="D16" s="1">
        <v>1382.73</v>
      </c>
      <c r="E16" s="1">
        <v>35746959360</v>
      </c>
      <c r="F16" s="1">
        <v>88.7</v>
      </c>
      <c r="H16" s="1">
        <v>32.9</v>
      </c>
      <c r="J16" s="1">
        <v>73.6</v>
      </c>
      <c r="L16" s="1">
        <v>89.7</v>
      </c>
    </row>
    <row r="17" spans="1:12">
      <c r="A17" s="1" t="str">
        <f>"880575"</f>
        <v>880575</v>
      </c>
      <c r="B17" s="1" t="s">
        <v>28</v>
      </c>
      <c r="C17" s="1">
        <v>3.16</v>
      </c>
      <c r="D17" s="1">
        <v>3052.6</v>
      </c>
      <c r="E17" s="1">
        <v>11123082240</v>
      </c>
      <c r="F17" s="1">
        <v>82.4</v>
      </c>
      <c r="H17" s="1">
        <v>87.3</v>
      </c>
      <c r="J17" s="1">
        <v>91.6</v>
      </c>
      <c r="K17" s="1">
        <v>91.6</v>
      </c>
      <c r="L17" s="1">
        <v>55.2</v>
      </c>
    </row>
    <row r="18" spans="1:13">
      <c r="A18" s="1" t="str">
        <f>"880761"</f>
        <v>880761</v>
      </c>
      <c r="B18" s="1" t="s">
        <v>29</v>
      </c>
      <c r="C18" s="1">
        <v>3.15</v>
      </c>
      <c r="D18" s="1">
        <v>1176.01</v>
      </c>
      <c r="E18" s="1">
        <v>49922588672</v>
      </c>
      <c r="F18" s="1">
        <v>96.2</v>
      </c>
      <c r="G18" s="1">
        <v>96.2</v>
      </c>
      <c r="H18" s="1">
        <v>30.6</v>
      </c>
      <c r="J18" s="1">
        <v>76.9</v>
      </c>
      <c r="L18" s="1">
        <v>92.7</v>
      </c>
      <c r="M18" s="1">
        <v>92.7</v>
      </c>
    </row>
    <row r="19" spans="1:13">
      <c r="A19" s="1" t="str">
        <f>"880646"</f>
        <v>880646</v>
      </c>
      <c r="B19" s="1" t="s">
        <v>30</v>
      </c>
      <c r="C19" s="1">
        <v>3.1</v>
      </c>
      <c r="D19" s="1">
        <v>1633.79</v>
      </c>
      <c r="E19" s="1">
        <v>28079538176</v>
      </c>
      <c r="F19" s="1">
        <v>82.7</v>
      </c>
      <c r="H19" s="1">
        <v>76.8</v>
      </c>
      <c r="J19" s="1">
        <v>83.6</v>
      </c>
      <c r="L19" s="1">
        <v>96</v>
      </c>
      <c r="M19" s="1">
        <v>96</v>
      </c>
    </row>
    <row r="20" spans="1:12">
      <c r="A20" s="1" t="str">
        <f>"880627"</f>
        <v>880627</v>
      </c>
      <c r="B20" s="1" t="s">
        <v>31</v>
      </c>
      <c r="C20" s="1">
        <v>3.09</v>
      </c>
      <c r="D20" s="1">
        <v>1623.42</v>
      </c>
      <c r="E20" s="1">
        <v>48473030656</v>
      </c>
      <c r="F20" s="1">
        <v>66.3</v>
      </c>
      <c r="H20" s="1">
        <v>55.6</v>
      </c>
      <c r="J20" s="1">
        <v>80.6</v>
      </c>
      <c r="L20" s="1">
        <v>87.1</v>
      </c>
    </row>
    <row r="21" spans="1:12">
      <c r="A21" s="1" t="str">
        <f>"880587"</f>
        <v>880587</v>
      </c>
      <c r="B21" s="1" t="s">
        <v>32</v>
      </c>
      <c r="C21" s="1">
        <v>3.03</v>
      </c>
      <c r="D21" s="1">
        <v>6011.43</v>
      </c>
      <c r="E21" s="1">
        <v>16165695488</v>
      </c>
      <c r="F21" s="1">
        <v>74.5</v>
      </c>
      <c r="H21" s="1">
        <v>70.5</v>
      </c>
      <c r="J21" s="1">
        <v>89.2</v>
      </c>
      <c r="L21" s="1">
        <v>72</v>
      </c>
    </row>
    <row r="22" spans="1:13">
      <c r="A22" s="1" t="str">
        <f>"880604"</f>
        <v>880604</v>
      </c>
      <c r="B22" s="1" t="s">
        <v>33</v>
      </c>
      <c r="C22" s="1">
        <v>3.01</v>
      </c>
      <c r="D22" s="1">
        <v>1511.72</v>
      </c>
      <c r="E22" s="1">
        <v>10406417408</v>
      </c>
      <c r="F22" s="1">
        <v>79.9</v>
      </c>
      <c r="H22" s="1">
        <v>57.2</v>
      </c>
      <c r="J22" s="1">
        <v>91.3</v>
      </c>
      <c r="K22" s="1">
        <v>91.3</v>
      </c>
      <c r="L22" s="1">
        <v>96.2</v>
      </c>
      <c r="M22" s="1">
        <v>96.2</v>
      </c>
    </row>
    <row r="23" spans="1:13">
      <c r="A23" s="1" t="str">
        <f>"880765"</f>
        <v>880765</v>
      </c>
      <c r="B23" s="1" t="s">
        <v>34</v>
      </c>
      <c r="C23" s="1">
        <v>2.94</v>
      </c>
      <c r="D23" s="1">
        <v>1424.73</v>
      </c>
      <c r="E23" s="1">
        <v>53587460096</v>
      </c>
      <c r="F23" s="1">
        <v>78</v>
      </c>
      <c r="H23" s="1">
        <v>87.1</v>
      </c>
      <c r="J23" s="1">
        <v>90.6</v>
      </c>
      <c r="K23" s="1">
        <v>90.6</v>
      </c>
      <c r="L23" s="1">
        <v>91.1</v>
      </c>
      <c r="M23" s="1">
        <v>91.1</v>
      </c>
    </row>
    <row r="24" spans="1:12">
      <c r="A24" s="1" t="str">
        <f>"880975"</f>
        <v>880975</v>
      </c>
      <c r="B24" s="1" t="s">
        <v>35</v>
      </c>
      <c r="C24" s="1">
        <v>2.93</v>
      </c>
      <c r="D24" s="1">
        <v>2135.36</v>
      </c>
      <c r="E24" s="1">
        <v>17599676416</v>
      </c>
      <c r="F24" s="1">
        <v>78.9</v>
      </c>
      <c r="H24" s="1">
        <v>38</v>
      </c>
      <c r="J24" s="1">
        <v>68.2</v>
      </c>
      <c r="L24" s="1">
        <v>85.3</v>
      </c>
    </row>
    <row r="25" spans="1:13">
      <c r="A25" s="1" t="str">
        <f>"880612"</f>
        <v>880612</v>
      </c>
      <c r="B25" s="1" t="s">
        <v>36</v>
      </c>
      <c r="C25" s="1">
        <v>2.86</v>
      </c>
      <c r="D25" s="1">
        <v>1504.16</v>
      </c>
      <c r="E25" s="1">
        <v>55292682240</v>
      </c>
      <c r="F25" s="1">
        <v>97.6</v>
      </c>
      <c r="G25" s="1">
        <v>97.6</v>
      </c>
      <c r="H25" s="1">
        <v>91.1</v>
      </c>
      <c r="I25" s="1">
        <v>91.1</v>
      </c>
      <c r="J25" s="1">
        <v>87.8</v>
      </c>
      <c r="L25" s="1">
        <v>90.9</v>
      </c>
      <c r="M25" s="1">
        <v>90.9</v>
      </c>
    </row>
    <row r="26" spans="1:12">
      <c r="A26" s="1" t="str">
        <f>"880796"</f>
        <v>880796</v>
      </c>
      <c r="B26" s="1" t="s">
        <v>37</v>
      </c>
      <c r="C26" s="1">
        <v>2.82</v>
      </c>
      <c r="D26" s="1">
        <v>1147.41</v>
      </c>
      <c r="E26" s="1">
        <v>6300594688</v>
      </c>
      <c r="F26" s="1">
        <v>41.3</v>
      </c>
      <c r="H26" s="1">
        <v>28.5</v>
      </c>
      <c r="J26" s="1">
        <v>67.1</v>
      </c>
      <c r="L26" s="1">
        <v>52.9</v>
      </c>
    </row>
    <row r="27" spans="1:13">
      <c r="A27" s="1" t="str">
        <f>"880550"</f>
        <v>880550</v>
      </c>
      <c r="B27" s="1" t="s">
        <v>38</v>
      </c>
      <c r="C27" s="1">
        <v>2.72</v>
      </c>
      <c r="D27" s="1">
        <v>2649.79</v>
      </c>
      <c r="E27" s="1">
        <v>135555948544</v>
      </c>
      <c r="F27" s="1">
        <v>86.2</v>
      </c>
      <c r="H27" s="1">
        <v>90.1</v>
      </c>
      <c r="I27" s="1">
        <v>90.1</v>
      </c>
      <c r="J27" s="1">
        <v>81.3</v>
      </c>
      <c r="L27" s="1">
        <v>95.5</v>
      </c>
      <c r="M27" s="1">
        <v>95.5</v>
      </c>
    </row>
    <row r="28" spans="1:12">
      <c r="A28" s="1" t="str">
        <f>"880594"</f>
        <v>880594</v>
      </c>
      <c r="B28" s="1" t="s">
        <v>39</v>
      </c>
      <c r="C28" s="1">
        <v>2.7</v>
      </c>
      <c r="D28" s="1">
        <v>3189.78</v>
      </c>
      <c r="E28" s="1">
        <v>390685458432</v>
      </c>
      <c r="F28" s="1">
        <v>74.7</v>
      </c>
      <c r="H28" s="1">
        <v>63.7</v>
      </c>
      <c r="J28" s="1">
        <v>81.5</v>
      </c>
      <c r="L28" s="1">
        <v>80.4</v>
      </c>
    </row>
    <row r="29" spans="1:13">
      <c r="A29" s="1" t="str">
        <f>"880899"</f>
        <v>880899</v>
      </c>
      <c r="B29" s="1" t="s">
        <v>40</v>
      </c>
      <c r="C29" s="1">
        <v>2.65</v>
      </c>
      <c r="D29" s="1">
        <v>1472.44</v>
      </c>
      <c r="E29" s="1">
        <v>62222295040</v>
      </c>
      <c r="F29" s="1">
        <v>96.4</v>
      </c>
      <c r="G29" s="1">
        <v>96.4</v>
      </c>
      <c r="H29" s="1">
        <v>79.6</v>
      </c>
      <c r="J29" s="1">
        <v>82.7</v>
      </c>
      <c r="L29" s="1">
        <v>96.9</v>
      </c>
      <c r="M29" s="1">
        <v>96.9</v>
      </c>
    </row>
    <row r="30" spans="1:12">
      <c r="A30" s="1" t="str">
        <f>"880582"</f>
        <v>880582</v>
      </c>
      <c r="B30" s="1" t="s">
        <v>41</v>
      </c>
      <c r="C30" s="1">
        <v>2.65</v>
      </c>
      <c r="D30" s="1">
        <v>3517.32</v>
      </c>
      <c r="E30" s="1">
        <v>251121106944</v>
      </c>
      <c r="F30" s="1">
        <v>71</v>
      </c>
      <c r="H30" s="1">
        <v>77.8</v>
      </c>
      <c r="J30" s="1">
        <v>78.3</v>
      </c>
      <c r="L30" s="1">
        <v>86.7</v>
      </c>
    </row>
    <row r="31" spans="1:12">
      <c r="A31" s="1" t="str">
        <f>"880728"</f>
        <v>880728</v>
      </c>
      <c r="B31" s="1" t="s">
        <v>42</v>
      </c>
      <c r="C31" s="1">
        <v>2.64</v>
      </c>
      <c r="D31" s="1">
        <v>1769.16</v>
      </c>
      <c r="E31" s="1">
        <v>35413970944</v>
      </c>
      <c r="F31" s="1">
        <v>49.5</v>
      </c>
      <c r="H31" s="1">
        <v>34.8</v>
      </c>
      <c r="J31" s="1">
        <v>72.2</v>
      </c>
      <c r="L31" s="1">
        <v>67.3</v>
      </c>
    </row>
    <row r="32" spans="1:12">
      <c r="A32" s="1" t="str">
        <f>"880734"</f>
        <v>880734</v>
      </c>
      <c r="B32" s="1" t="s">
        <v>43</v>
      </c>
      <c r="C32" s="1">
        <v>2.62</v>
      </c>
      <c r="D32" s="1">
        <v>1352.05</v>
      </c>
      <c r="E32" s="1">
        <v>11821670400</v>
      </c>
      <c r="F32" s="1">
        <v>87.8</v>
      </c>
      <c r="H32" s="1">
        <v>85</v>
      </c>
      <c r="J32" s="1">
        <v>51.5</v>
      </c>
      <c r="L32" s="1">
        <v>86.2</v>
      </c>
    </row>
    <row r="33" spans="1:12">
      <c r="A33" s="1" t="str">
        <f>"880568"</f>
        <v>880568</v>
      </c>
      <c r="B33" s="1" t="s">
        <v>44</v>
      </c>
      <c r="C33" s="1">
        <v>2.58</v>
      </c>
      <c r="D33" s="1">
        <v>1864.29</v>
      </c>
      <c r="E33" s="1">
        <v>11279986688</v>
      </c>
      <c r="F33" s="1">
        <v>53.2</v>
      </c>
      <c r="H33" s="1">
        <v>34.5</v>
      </c>
      <c r="J33" s="1">
        <v>75.9</v>
      </c>
      <c r="L33" s="1">
        <v>86</v>
      </c>
    </row>
    <row r="34" spans="1:13">
      <c r="A34" s="1" t="str">
        <f>"880535"</f>
        <v>880535</v>
      </c>
      <c r="B34" s="1" t="s">
        <v>45</v>
      </c>
      <c r="C34" s="1">
        <v>2.57</v>
      </c>
      <c r="D34" s="1">
        <v>1394.15</v>
      </c>
      <c r="E34" s="1">
        <v>60096303104</v>
      </c>
      <c r="F34" s="1">
        <v>68.9</v>
      </c>
      <c r="H34" s="1">
        <v>75.7</v>
      </c>
      <c r="J34" s="1">
        <v>84.3</v>
      </c>
      <c r="L34" s="1">
        <v>90.6</v>
      </c>
      <c r="M34" s="1">
        <v>90.6</v>
      </c>
    </row>
    <row r="35" spans="1:12">
      <c r="A35" s="1" t="str">
        <f>"880639"</f>
        <v>880639</v>
      </c>
      <c r="B35" s="1" t="s">
        <v>46</v>
      </c>
      <c r="C35" s="1">
        <v>2.55</v>
      </c>
      <c r="D35" s="1">
        <v>1200.68</v>
      </c>
      <c r="E35" s="1">
        <v>19659270144</v>
      </c>
      <c r="F35" s="1">
        <v>66.5</v>
      </c>
      <c r="H35" s="1">
        <v>63</v>
      </c>
      <c r="J35" s="1">
        <v>83.9</v>
      </c>
      <c r="L35" s="1">
        <v>57.3</v>
      </c>
    </row>
    <row r="36" spans="1:12">
      <c r="A36" s="1" t="str">
        <f>"880710"</f>
        <v>880710</v>
      </c>
      <c r="B36" s="1" t="s">
        <v>47</v>
      </c>
      <c r="C36" s="1">
        <v>2.53</v>
      </c>
      <c r="D36" s="1">
        <v>1718.74</v>
      </c>
      <c r="E36" s="1">
        <v>3632014080</v>
      </c>
      <c r="F36" s="1">
        <v>17.9</v>
      </c>
      <c r="H36" s="1">
        <v>26.4</v>
      </c>
      <c r="J36" s="1">
        <v>56.4</v>
      </c>
      <c r="L36" s="1">
        <v>29.8</v>
      </c>
    </row>
    <row r="37" spans="1:12">
      <c r="A37" s="1" t="str">
        <f>"880547"</f>
        <v>880547</v>
      </c>
      <c r="B37" s="1" t="s">
        <v>48</v>
      </c>
      <c r="C37" s="1">
        <v>2.51</v>
      </c>
      <c r="D37" s="1">
        <v>2052.23</v>
      </c>
      <c r="E37" s="1">
        <v>14507827200</v>
      </c>
      <c r="F37" s="1">
        <v>83.4</v>
      </c>
      <c r="H37" s="1">
        <v>93.4</v>
      </c>
      <c r="I37" s="1">
        <v>93.4</v>
      </c>
      <c r="J37" s="1">
        <v>90.9</v>
      </c>
      <c r="K37" s="1">
        <v>90.9</v>
      </c>
      <c r="L37" s="1">
        <v>75</v>
      </c>
    </row>
    <row r="38" spans="1:12">
      <c r="A38" s="1" t="str">
        <f>"880666"</f>
        <v>880666</v>
      </c>
      <c r="B38" s="1" t="s">
        <v>49</v>
      </c>
      <c r="C38" s="1">
        <v>2.48</v>
      </c>
      <c r="D38" s="1">
        <v>2407.69</v>
      </c>
      <c r="E38" s="1">
        <v>78047764480</v>
      </c>
      <c r="F38" s="1">
        <v>92.2</v>
      </c>
      <c r="G38" s="1">
        <v>92.2</v>
      </c>
      <c r="H38" s="1">
        <v>96.7</v>
      </c>
      <c r="I38" s="1">
        <v>96.7</v>
      </c>
      <c r="J38" s="1">
        <v>53.8</v>
      </c>
      <c r="L38" s="1">
        <v>65.5</v>
      </c>
    </row>
    <row r="39" spans="1:12">
      <c r="A39" s="1" t="str">
        <f>"880705"</f>
        <v>880705</v>
      </c>
      <c r="B39" s="1" t="s">
        <v>50</v>
      </c>
      <c r="C39" s="1">
        <v>2.46</v>
      </c>
      <c r="D39" s="1">
        <v>1930.19</v>
      </c>
      <c r="E39" s="1">
        <v>198856130560</v>
      </c>
      <c r="F39" s="1">
        <v>72.8</v>
      </c>
      <c r="H39" s="1">
        <v>69.3</v>
      </c>
      <c r="J39" s="1">
        <v>69.4</v>
      </c>
      <c r="L39" s="1">
        <v>73.4</v>
      </c>
    </row>
    <row r="40" spans="1:12">
      <c r="A40" s="1" t="str">
        <f>"880642"</f>
        <v>880642</v>
      </c>
      <c r="B40" s="1" t="s">
        <v>51</v>
      </c>
      <c r="C40" s="1">
        <v>2.44</v>
      </c>
      <c r="D40" s="1">
        <v>1306.54</v>
      </c>
      <c r="E40" s="1">
        <v>5572152832</v>
      </c>
      <c r="F40" s="1">
        <v>50.4</v>
      </c>
      <c r="H40" s="1">
        <v>39.2</v>
      </c>
      <c r="J40" s="1">
        <v>72.4</v>
      </c>
      <c r="L40" s="1">
        <v>52.2</v>
      </c>
    </row>
    <row r="41" spans="1:13">
      <c r="A41" s="1" t="str">
        <f>"880798"</f>
        <v>880798</v>
      </c>
      <c r="B41" s="1" t="s">
        <v>52</v>
      </c>
      <c r="C41" s="1">
        <v>2.43</v>
      </c>
      <c r="D41" s="1">
        <v>2607.81</v>
      </c>
      <c r="E41" s="1">
        <v>30761691136</v>
      </c>
      <c r="F41" s="1">
        <v>78.5</v>
      </c>
      <c r="H41" s="1">
        <v>71.9</v>
      </c>
      <c r="J41" s="1">
        <v>77.8</v>
      </c>
      <c r="L41" s="1">
        <v>95.3</v>
      </c>
      <c r="M41" s="1">
        <v>95.3</v>
      </c>
    </row>
    <row r="42" spans="1:12">
      <c r="A42" s="1" t="str">
        <f>"880706"</f>
        <v>880706</v>
      </c>
      <c r="B42" s="1" t="s">
        <v>53</v>
      </c>
      <c r="C42" s="1">
        <v>2.43</v>
      </c>
      <c r="D42" s="1">
        <v>948.26</v>
      </c>
      <c r="E42" s="1">
        <v>8916452352</v>
      </c>
      <c r="F42" s="1">
        <v>85.2</v>
      </c>
      <c r="H42" s="1">
        <v>83.6</v>
      </c>
      <c r="J42" s="1">
        <v>99.3</v>
      </c>
      <c r="K42" s="1">
        <v>99.3</v>
      </c>
      <c r="L42" s="1">
        <v>66.4</v>
      </c>
    </row>
    <row r="43" spans="1:12">
      <c r="A43" s="1" t="str">
        <f>"880724"</f>
        <v>880724</v>
      </c>
      <c r="B43" s="1" t="s">
        <v>54</v>
      </c>
      <c r="C43" s="1">
        <v>2.43</v>
      </c>
      <c r="D43" s="1">
        <v>1456.18</v>
      </c>
      <c r="E43" s="1">
        <v>16722497536</v>
      </c>
      <c r="F43" s="1">
        <v>48.8</v>
      </c>
      <c r="H43" s="1">
        <v>25.7</v>
      </c>
      <c r="J43" s="1">
        <v>61</v>
      </c>
      <c r="L43" s="1">
        <v>48.7</v>
      </c>
    </row>
    <row r="44" spans="1:12">
      <c r="A44" s="1" t="str">
        <f>"880611"</f>
        <v>880611</v>
      </c>
      <c r="B44" s="1" t="s">
        <v>55</v>
      </c>
      <c r="C44" s="1">
        <v>2.41</v>
      </c>
      <c r="D44" s="1">
        <v>1470.25</v>
      </c>
      <c r="E44" s="1">
        <v>20123500544</v>
      </c>
      <c r="F44" s="1">
        <v>53.7</v>
      </c>
      <c r="H44" s="1">
        <v>59.1</v>
      </c>
      <c r="J44" s="1">
        <v>42.1</v>
      </c>
      <c r="L44" s="1">
        <v>83.2</v>
      </c>
    </row>
    <row r="45" spans="1:12">
      <c r="A45" s="1" t="str">
        <f>"880584"</f>
        <v>880584</v>
      </c>
      <c r="B45" s="1" t="s">
        <v>56</v>
      </c>
      <c r="C45" s="1">
        <v>2.39</v>
      </c>
      <c r="D45" s="1">
        <v>2456.03</v>
      </c>
      <c r="E45" s="1">
        <v>54610432000</v>
      </c>
      <c r="F45" s="1">
        <v>75.9</v>
      </c>
      <c r="H45" s="1">
        <v>65.1</v>
      </c>
      <c r="J45" s="1">
        <v>85</v>
      </c>
      <c r="L45" s="1">
        <v>78.7</v>
      </c>
    </row>
    <row r="46" spans="1:12">
      <c r="A46" s="1" t="str">
        <f>"880537"</f>
        <v>880537</v>
      </c>
      <c r="B46" s="1" t="s">
        <v>57</v>
      </c>
      <c r="C46" s="1">
        <v>2.38</v>
      </c>
      <c r="D46" s="1">
        <v>2058.05</v>
      </c>
      <c r="E46" s="1">
        <v>177749803008</v>
      </c>
      <c r="F46" s="1">
        <v>80.3</v>
      </c>
      <c r="H46" s="1">
        <v>82.4</v>
      </c>
      <c r="J46" s="1">
        <v>60.6</v>
      </c>
      <c r="L46" s="1">
        <v>77.8</v>
      </c>
    </row>
    <row r="47" spans="1:12">
      <c r="A47" s="1" t="str">
        <f>"880714"</f>
        <v>880714</v>
      </c>
      <c r="B47" s="1" t="s">
        <v>58</v>
      </c>
      <c r="C47" s="1">
        <v>2.36</v>
      </c>
      <c r="D47" s="1">
        <v>4024.08</v>
      </c>
      <c r="E47" s="1">
        <v>35167936512</v>
      </c>
      <c r="F47" s="1">
        <v>87.6</v>
      </c>
      <c r="H47" s="1">
        <v>44.6</v>
      </c>
      <c r="J47" s="1">
        <v>59.4</v>
      </c>
      <c r="L47" s="1">
        <v>77.6</v>
      </c>
    </row>
    <row r="48" spans="1:12">
      <c r="A48" s="1" t="str">
        <f>"880731"</f>
        <v>880731</v>
      </c>
      <c r="B48" s="1" t="s">
        <v>59</v>
      </c>
      <c r="C48" s="1">
        <v>2.35</v>
      </c>
      <c r="D48" s="1">
        <v>1778.77</v>
      </c>
      <c r="E48" s="1">
        <v>185210372096</v>
      </c>
      <c r="F48" s="1">
        <v>76.1</v>
      </c>
      <c r="H48" s="1">
        <v>78.7</v>
      </c>
      <c r="J48" s="1">
        <v>76.4</v>
      </c>
      <c r="L48" s="1">
        <v>81.5</v>
      </c>
    </row>
    <row r="49" spans="1:12">
      <c r="A49" s="1" t="str">
        <f>"880905"</f>
        <v>880905</v>
      </c>
      <c r="B49" s="1" t="s">
        <v>60</v>
      </c>
      <c r="C49" s="1">
        <v>2.34</v>
      </c>
      <c r="D49" s="1">
        <v>5165.04</v>
      </c>
      <c r="E49" s="1">
        <v>29737482240</v>
      </c>
      <c r="F49" s="1">
        <v>94.6</v>
      </c>
      <c r="G49" s="1">
        <v>94.6</v>
      </c>
      <c r="H49" s="1">
        <v>97.8</v>
      </c>
      <c r="I49" s="1">
        <v>97.8</v>
      </c>
      <c r="J49" s="1">
        <v>78.7</v>
      </c>
      <c r="L49" s="1">
        <v>60.8</v>
      </c>
    </row>
    <row r="50" spans="1:12">
      <c r="A50" s="1" t="str">
        <f>"880626"</f>
        <v>880626</v>
      </c>
      <c r="B50" s="1" t="s">
        <v>61</v>
      </c>
      <c r="C50" s="1">
        <v>2.33</v>
      </c>
      <c r="D50" s="1">
        <v>936.76</v>
      </c>
      <c r="E50" s="1">
        <v>7955500032</v>
      </c>
      <c r="F50" s="1">
        <v>19.1</v>
      </c>
      <c r="H50" s="1">
        <v>18.6</v>
      </c>
      <c r="J50" s="1">
        <v>40.7</v>
      </c>
      <c r="L50" s="1">
        <v>41.2</v>
      </c>
    </row>
    <row r="51" spans="1:12">
      <c r="A51" s="1" t="str">
        <f>"880923"</f>
        <v>880923</v>
      </c>
      <c r="B51" s="1" t="s">
        <v>62</v>
      </c>
      <c r="C51" s="1">
        <v>2.32</v>
      </c>
      <c r="D51" s="1">
        <v>1119.53</v>
      </c>
      <c r="E51" s="1">
        <v>8580506624</v>
      </c>
      <c r="F51" s="1">
        <v>63.3</v>
      </c>
      <c r="H51" s="1">
        <v>28.7</v>
      </c>
      <c r="J51" s="1">
        <v>69.9</v>
      </c>
      <c r="L51" s="1">
        <v>33.3</v>
      </c>
    </row>
    <row r="52" spans="1:12">
      <c r="A52" s="1" t="str">
        <f>"880741"</f>
        <v>880741</v>
      </c>
      <c r="B52" s="1" t="s">
        <v>63</v>
      </c>
      <c r="C52" s="1">
        <v>2.3</v>
      </c>
      <c r="D52" s="1">
        <v>1226.33</v>
      </c>
      <c r="E52" s="1">
        <v>5177372160</v>
      </c>
      <c r="F52" s="1">
        <v>34.5</v>
      </c>
      <c r="H52" s="1">
        <v>56.5</v>
      </c>
      <c r="J52" s="1">
        <v>85.5</v>
      </c>
      <c r="L52" s="1">
        <v>78</v>
      </c>
    </row>
    <row r="53" spans="1:12">
      <c r="A53" s="1" t="str">
        <f>"880629"</f>
        <v>880629</v>
      </c>
      <c r="B53" s="1" t="s">
        <v>64</v>
      </c>
      <c r="C53" s="1">
        <v>2.3</v>
      </c>
      <c r="D53" s="1">
        <v>1813.87</v>
      </c>
      <c r="E53" s="1">
        <v>39235506176</v>
      </c>
      <c r="F53" s="1">
        <v>87.1</v>
      </c>
      <c r="H53" s="1">
        <v>94.3</v>
      </c>
      <c r="I53" s="1">
        <v>94.3</v>
      </c>
      <c r="J53" s="1">
        <v>87.4</v>
      </c>
      <c r="L53" s="1">
        <v>70.6</v>
      </c>
    </row>
    <row r="54" spans="1:12">
      <c r="A54" s="1" t="str">
        <f>"880753"</f>
        <v>880753</v>
      </c>
      <c r="B54" s="1" t="s">
        <v>65</v>
      </c>
      <c r="C54" s="1">
        <v>2.27</v>
      </c>
      <c r="D54" s="1">
        <v>1286.12</v>
      </c>
      <c r="E54" s="1">
        <v>175268216832</v>
      </c>
      <c r="F54" s="1">
        <v>64</v>
      </c>
      <c r="H54" s="1">
        <v>48.8</v>
      </c>
      <c r="J54" s="1">
        <v>75.5</v>
      </c>
      <c r="L54" s="1">
        <v>63.4</v>
      </c>
    </row>
    <row r="55" spans="1:12">
      <c r="A55" s="1" t="str">
        <f>"880520"</f>
        <v>880520</v>
      </c>
      <c r="B55" s="1" t="s">
        <v>66</v>
      </c>
      <c r="C55" s="1">
        <v>2.25</v>
      </c>
      <c r="D55" s="1">
        <v>3577.6</v>
      </c>
      <c r="E55" s="1">
        <v>162533015552</v>
      </c>
      <c r="F55" s="1">
        <v>81</v>
      </c>
      <c r="H55" s="1">
        <v>80.3</v>
      </c>
      <c r="J55" s="1">
        <v>64.5</v>
      </c>
      <c r="L55" s="1">
        <v>82.5</v>
      </c>
    </row>
    <row r="56" spans="1:12">
      <c r="A56" s="1" t="str">
        <f>"880972"</f>
        <v>880972</v>
      </c>
      <c r="B56" s="1" t="s">
        <v>67</v>
      </c>
      <c r="C56" s="1">
        <v>2.24</v>
      </c>
      <c r="D56" s="1">
        <v>1355.89</v>
      </c>
      <c r="E56" s="1">
        <v>62771777536</v>
      </c>
      <c r="F56" s="1">
        <v>66.8</v>
      </c>
      <c r="H56" s="1">
        <v>67</v>
      </c>
      <c r="J56" s="1">
        <v>58.7</v>
      </c>
      <c r="L56" s="1">
        <v>61.7</v>
      </c>
    </row>
    <row r="57" spans="1:12">
      <c r="A57" s="1" t="str">
        <f>"880519"</f>
        <v>880519</v>
      </c>
      <c r="B57" s="1" t="s">
        <v>68</v>
      </c>
      <c r="C57" s="1">
        <v>2.23</v>
      </c>
      <c r="D57" s="1">
        <v>2008.6</v>
      </c>
      <c r="E57" s="1">
        <v>100120322048</v>
      </c>
      <c r="F57" s="1">
        <v>58.4</v>
      </c>
      <c r="H57" s="1">
        <v>51.1</v>
      </c>
      <c r="J57" s="1">
        <v>77.3</v>
      </c>
      <c r="L57" s="1">
        <v>66.8</v>
      </c>
    </row>
    <row r="58" spans="1:12">
      <c r="A58" s="1" t="str">
        <f>"880656"</f>
        <v>880656</v>
      </c>
      <c r="B58" s="1" t="s">
        <v>69</v>
      </c>
      <c r="C58" s="1">
        <v>2.21</v>
      </c>
      <c r="D58" s="1">
        <v>4683.22</v>
      </c>
      <c r="E58" s="1">
        <v>248997724160</v>
      </c>
      <c r="F58" s="1">
        <v>96.9</v>
      </c>
      <c r="G58" s="1">
        <v>96.9</v>
      </c>
      <c r="H58" s="1">
        <v>98.8</v>
      </c>
      <c r="I58" s="1">
        <v>98.8</v>
      </c>
      <c r="J58" s="1">
        <v>94.1</v>
      </c>
      <c r="K58" s="1">
        <v>94.1</v>
      </c>
      <c r="L58" s="1">
        <v>89.9</v>
      </c>
    </row>
    <row r="59" spans="1:12">
      <c r="A59" s="1" t="str">
        <f>"880649"</f>
        <v>880649</v>
      </c>
      <c r="B59" s="1" t="s">
        <v>70</v>
      </c>
      <c r="C59" s="1">
        <v>2.21</v>
      </c>
      <c r="D59" s="1">
        <v>1049.85</v>
      </c>
      <c r="E59" s="1">
        <v>11475815424</v>
      </c>
      <c r="F59" s="1">
        <v>73.5</v>
      </c>
      <c r="H59" s="1">
        <v>70.7</v>
      </c>
      <c r="J59" s="1">
        <v>93.4</v>
      </c>
      <c r="K59" s="1">
        <v>93.4</v>
      </c>
      <c r="L59" s="1">
        <v>12.1</v>
      </c>
    </row>
    <row r="60" spans="1:12">
      <c r="A60" s="1" t="str">
        <f>"880558"</f>
        <v>880558</v>
      </c>
      <c r="B60" s="1" t="s">
        <v>71</v>
      </c>
      <c r="C60" s="1">
        <v>2.16</v>
      </c>
      <c r="D60" s="1">
        <v>3790.58</v>
      </c>
      <c r="E60" s="1">
        <v>96202948608</v>
      </c>
      <c r="F60" s="1">
        <v>63</v>
      </c>
      <c r="H60" s="1">
        <v>60.7</v>
      </c>
      <c r="J60" s="1">
        <v>79</v>
      </c>
      <c r="L60" s="1">
        <v>54.7</v>
      </c>
    </row>
    <row r="61" spans="1:12">
      <c r="A61" s="1" t="str">
        <f>"880586"</f>
        <v>880586</v>
      </c>
      <c r="B61" s="1" t="s">
        <v>72</v>
      </c>
      <c r="C61" s="1">
        <v>2.15</v>
      </c>
      <c r="D61" s="1">
        <v>1482.31</v>
      </c>
      <c r="E61" s="1">
        <v>8677140480</v>
      </c>
      <c r="F61" s="1">
        <v>59.1</v>
      </c>
      <c r="H61" s="1">
        <v>24.5</v>
      </c>
      <c r="J61" s="1">
        <v>72.7</v>
      </c>
      <c r="L61" s="1">
        <v>30.7</v>
      </c>
    </row>
    <row r="62" spans="1:12">
      <c r="A62" s="1" t="str">
        <f>"880971"</f>
        <v>880971</v>
      </c>
      <c r="B62" s="1" t="s">
        <v>73</v>
      </c>
      <c r="C62" s="1">
        <v>2.13</v>
      </c>
      <c r="D62" s="1">
        <v>1354.67</v>
      </c>
      <c r="E62" s="1">
        <v>19963402240</v>
      </c>
      <c r="F62" s="1">
        <v>50</v>
      </c>
      <c r="H62" s="1">
        <v>51.4</v>
      </c>
      <c r="J62" s="1">
        <v>70.6</v>
      </c>
      <c r="L62" s="1">
        <v>77.1</v>
      </c>
    </row>
    <row r="63" spans="1:12">
      <c r="A63" s="1" t="str">
        <f>"880610"</f>
        <v>880610</v>
      </c>
      <c r="B63" s="1" t="s">
        <v>74</v>
      </c>
      <c r="C63" s="1">
        <v>2.11</v>
      </c>
      <c r="D63" s="1">
        <v>1625.52</v>
      </c>
      <c r="E63" s="1">
        <v>35509043200</v>
      </c>
      <c r="F63" s="1">
        <v>33.4</v>
      </c>
      <c r="H63" s="1">
        <v>42.7</v>
      </c>
      <c r="J63" s="1">
        <v>55.4</v>
      </c>
      <c r="L63" s="1">
        <v>53.1</v>
      </c>
    </row>
    <row r="64" spans="1:12">
      <c r="A64" s="1" t="str">
        <f>"880561"</f>
        <v>880561</v>
      </c>
      <c r="B64" s="1" t="s">
        <v>75</v>
      </c>
      <c r="C64" s="1">
        <v>2.08</v>
      </c>
      <c r="D64" s="1">
        <v>2371.46</v>
      </c>
      <c r="E64" s="1">
        <v>73923395584</v>
      </c>
      <c r="F64" s="1">
        <v>71.2</v>
      </c>
      <c r="H64" s="1">
        <v>85.9</v>
      </c>
      <c r="J64" s="1">
        <v>65</v>
      </c>
      <c r="L64" s="1">
        <v>84.6</v>
      </c>
    </row>
    <row r="65" spans="1:12">
      <c r="A65" s="1" t="str">
        <f>"880525"</f>
        <v>880525</v>
      </c>
      <c r="B65" s="1" t="s">
        <v>76</v>
      </c>
      <c r="C65" s="1">
        <v>2.06</v>
      </c>
      <c r="D65" s="1">
        <v>1596.35</v>
      </c>
      <c r="E65" s="1">
        <v>58807787520</v>
      </c>
      <c r="F65" s="1">
        <v>48.5</v>
      </c>
      <c r="H65" s="1">
        <v>53.2</v>
      </c>
      <c r="J65" s="1">
        <v>51.9</v>
      </c>
      <c r="L65" s="1">
        <v>74.8</v>
      </c>
    </row>
    <row r="66" spans="1:12">
      <c r="A66" s="1" t="str">
        <f>"880658"</f>
        <v>880658</v>
      </c>
      <c r="B66" s="1" t="s">
        <v>77</v>
      </c>
      <c r="C66" s="1">
        <v>2.05</v>
      </c>
      <c r="D66" s="1">
        <v>1692</v>
      </c>
      <c r="E66" s="1">
        <v>62168072192</v>
      </c>
      <c r="F66" s="1">
        <v>64.9</v>
      </c>
      <c r="H66" s="1">
        <v>60.5</v>
      </c>
      <c r="J66" s="1">
        <v>47</v>
      </c>
      <c r="L66" s="1">
        <v>87.6</v>
      </c>
    </row>
    <row r="67" spans="1:12">
      <c r="A67" s="1" t="str">
        <f>"880636"</f>
        <v>880636</v>
      </c>
      <c r="B67" s="1" t="s">
        <v>78</v>
      </c>
      <c r="C67" s="1">
        <v>2.05</v>
      </c>
      <c r="D67" s="1">
        <v>1651.38</v>
      </c>
      <c r="E67" s="1">
        <v>27126511616</v>
      </c>
      <c r="F67" s="1">
        <v>29.9</v>
      </c>
      <c r="H67" s="1">
        <v>57.4</v>
      </c>
      <c r="J67" s="1">
        <v>67.5</v>
      </c>
      <c r="L67" s="1">
        <v>86.4</v>
      </c>
    </row>
    <row r="68" spans="1:12">
      <c r="A68" s="1" t="str">
        <f>"880534"</f>
        <v>880534</v>
      </c>
      <c r="B68" s="1" t="s">
        <v>79</v>
      </c>
      <c r="C68" s="1">
        <v>2.04</v>
      </c>
      <c r="D68" s="1">
        <v>3415.86</v>
      </c>
      <c r="E68" s="1">
        <v>316131901440</v>
      </c>
      <c r="F68" s="1">
        <v>81.7</v>
      </c>
      <c r="H68" s="1">
        <v>52.1</v>
      </c>
      <c r="J68" s="1">
        <v>63.6</v>
      </c>
      <c r="L68" s="1">
        <v>75.5</v>
      </c>
    </row>
    <row r="69" spans="1:12">
      <c r="A69" s="1" t="str">
        <f>"880716"</f>
        <v>880716</v>
      </c>
      <c r="B69" s="1" t="s">
        <v>80</v>
      </c>
      <c r="C69" s="1">
        <v>2.03</v>
      </c>
      <c r="D69" s="1">
        <v>3762.42</v>
      </c>
      <c r="E69" s="1">
        <v>65137553408</v>
      </c>
      <c r="F69" s="1">
        <v>85.5</v>
      </c>
      <c r="H69" s="1">
        <v>88.7</v>
      </c>
      <c r="J69" s="1">
        <v>61.7</v>
      </c>
      <c r="L69" s="1">
        <v>78.5</v>
      </c>
    </row>
    <row r="70" spans="1:12">
      <c r="A70" s="1" t="str">
        <f>"880544"</f>
        <v>880544</v>
      </c>
      <c r="B70" s="1" t="s">
        <v>81</v>
      </c>
      <c r="C70" s="1">
        <v>2.03</v>
      </c>
      <c r="D70" s="1">
        <v>4072.6</v>
      </c>
      <c r="E70" s="1">
        <v>353523236864</v>
      </c>
      <c r="F70" s="1">
        <v>73.8</v>
      </c>
      <c r="H70" s="1">
        <v>71.4</v>
      </c>
      <c r="J70" s="1">
        <v>84.8</v>
      </c>
      <c r="L70" s="1">
        <v>55</v>
      </c>
    </row>
    <row r="71" spans="1:12">
      <c r="A71" s="1" t="str">
        <f>"880725"</f>
        <v>880725</v>
      </c>
      <c r="B71" s="1" t="s">
        <v>82</v>
      </c>
      <c r="C71" s="1">
        <v>2.02</v>
      </c>
      <c r="D71" s="1">
        <v>1265.02</v>
      </c>
      <c r="E71" s="1">
        <v>69185331200</v>
      </c>
      <c r="F71" s="1">
        <v>80.8</v>
      </c>
      <c r="H71" s="1">
        <v>91.3</v>
      </c>
      <c r="I71" s="1">
        <v>91.3</v>
      </c>
      <c r="J71" s="1">
        <v>81.8</v>
      </c>
      <c r="L71" s="1">
        <v>81.3</v>
      </c>
    </row>
    <row r="72" spans="1:12">
      <c r="A72" s="1" t="str">
        <f>"880977"</f>
        <v>880977</v>
      </c>
      <c r="B72" s="1" t="s">
        <v>83</v>
      </c>
      <c r="C72" s="1">
        <v>2.02</v>
      </c>
      <c r="D72" s="1">
        <v>1599.57</v>
      </c>
      <c r="E72" s="1">
        <v>47972048896</v>
      </c>
      <c r="F72" s="1">
        <v>61.4</v>
      </c>
      <c r="H72" s="1">
        <v>49.2</v>
      </c>
      <c r="J72" s="1">
        <v>89.5</v>
      </c>
      <c r="L72" s="1">
        <v>37.5</v>
      </c>
    </row>
    <row r="73" spans="1:12">
      <c r="A73" s="1" t="str">
        <f>"880571"</f>
        <v>880571</v>
      </c>
      <c r="B73" s="1" t="s">
        <v>84</v>
      </c>
      <c r="C73" s="1">
        <v>1.99</v>
      </c>
      <c r="D73" s="1">
        <v>2802.44</v>
      </c>
      <c r="E73" s="1">
        <v>38647898112</v>
      </c>
      <c r="F73" s="1">
        <v>59.8</v>
      </c>
      <c r="H73" s="1">
        <v>81.5</v>
      </c>
      <c r="J73" s="1">
        <v>47.3</v>
      </c>
      <c r="L73" s="1">
        <v>72.2</v>
      </c>
    </row>
    <row r="74" spans="1:12">
      <c r="A74" s="1" t="str">
        <f>"880909"</f>
        <v>880909</v>
      </c>
      <c r="B74" s="1" t="s">
        <v>85</v>
      </c>
      <c r="C74" s="1">
        <v>1.98</v>
      </c>
      <c r="D74" s="1">
        <v>2603.84</v>
      </c>
      <c r="E74" s="1">
        <v>112097165312</v>
      </c>
      <c r="F74" s="1">
        <v>63.7</v>
      </c>
      <c r="H74" s="1">
        <v>67.7</v>
      </c>
      <c r="J74" s="1">
        <v>59.2</v>
      </c>
      <c r="L74" s="1">
        <v>75.9</v>
      </c>
    </row>
    <row r="75" spans="1:12">
      <c r="A75" s="1" t="str">
        <f>"880614"</f>
        <v>880614</v>
      </c>
      <c r="B75" s="1" t="s">
        <v>86</v>
      </c>
      <c r="C75" s="1">
        <v>1.97</v>
      </c>
      <c r="D75" s="1">
        <v>1348.52</v>
      </c>
      <c r="E75" s="1">
        <v>22236160000</v>
      </c>
      <c r="F75" s="1">
        <v>70</v>
      </c>
      <c r="H75" s="1">
        <v>62.1</v>
      </c>
      <c r="J75" s="1">
        <v>92</v>
      </c>
      <c r="K75" s="1">
        <v>92</v>
      </c>
      <c r="L75" s="1">
        <v>41.4</v>
      </c>
    </row>
    <row r="76" spans="1:12">
      <c r="A76" s="1" t="str">
        <f>"880730"</f>
        <v>880730</v>
      </c>
      <c r="B76" s="1" t="s">
        <v>87</v>
      </c>
      <c r="C76" s="1">
        <v>1.96</v>
      </c>
      <c r="D76" s="1">
        <v>1872.69</v>
      </c>
      <c r="E76" s="1">
        <v>439332339712</v>
      </c>
      <c r="F76" s="1">
        <v>67.2</v>
      </c>
      <c r="H76" s="1">
        <v>61.6</v>
      </c>
      <c r="J76" s="1">
        <v>67.8</v>
      </c>
      <c r="L76" s="1">
        <v>74.5</v>
      </c>
    </row>
    <row r="77" spans="1:12">
      <c r="A77" s="1" t="str">
        <f>"880630"</f>
        <v>880630</v>
      </c>
      <c r="B77" s="1" t="s">
        <v>88</v>
      </c>
      <c r="C77" s="1">
        <v>1.95</v>
      </c>
      <c r="D77" s="1">
        <v>1683.6</v>
      </c>
      <c r="E77" s="1">
        <v>77378961408</v>
      </c>
      <c r="F77" s="1">
        <v>71.7</v>
      </c>
      <c r="H77" s="1">
        <v>64.4</v>
      </c>
      <c r="J77" s="1">
        <v>43.8</v>
      </c>
      <c r="L77" s="1">
        <v>61.3</v>
      </c>
    </row>
    <row r="78" spans="1:12">
      <c r="A78" s="1" t="str">
        <f>"880631"</f>
        <v>880631</v>
      </c>
      <c r="B78" s="1" t="s">
        <v>89</v>
      </c>
      <c r="C78" s="1">
        <v>1.93</v>
      </c>
      <c r="D78" s="1">
        <v>1302.88</v>
      </c>
      <c r="E78" s="1">
        <v>18719037440</v>
      </c>
      <c r="F78" s="1">
        <v>34.3</v>
      </c>
      <c r="H78" s="1">
        <v>40.6</v>
      </c>
      <c r="J78" s="1">
        <v>31.9</v>
      </c>
      <c r="L78" s="1">
        <v>71</v>
      </c>
    </row>
    <row r="79" spans="1:12">
      <c r="A79" s="1" t="str">
        <f>"880945"</f>
        <v>880945</v>
      </c>
      <c r="B79" s="1" t="s">
        <v>90</v>
      </c>
      <c r="C79" s="1">
        <v>1.93</v>
      </c>
      <c r="D79" s="1">
        <v>2434.7</v>
      </c>
      <c r="E79" s="1">
        <v>113862467584</v>
      </c>
      <c r="F79" s="1">
        <v>84.8</v>
      </c>
      <c r="H79" s="1">
        <v>87.6</v>
      </c>
      <c r="J79" s="1">
        <v>69.6</v>
      </c>
      <c r="L79" s="1">
        <v>83.9</v>
      </c>
    </row>
    <row r="80" spans="1:12">
      <c r="A80" s="1" t="str">
        <f>"880940"</f>
        <v>880940</v>
      </c>
      <c r="B80" s="1" t="s">
        <v>91</v>
      </c>
      <c r="C80" s="1">
        <v>1.89</v>
      </c>
      <c r="D80" s="1">
        <v>600.26</v>
      </c>
      <c r="E80" s="1">
        <v>46004703232</v>
      </c>
      <c r="F80" s="1">
        <v>37.8</v>
      </c>
      <c r="H80" s="1">
        <v>18.4</v>
      </c>
      <c r="J80" s="1">
        <v>52.6</v>
      </c>
      <c r="L80" s="1">
        <v>48.2</v>
      </c>
    </row>
    <row r="81" spans="1:12">
      <c r="A81" s="1" t="str">
        <f>"880903"</f>
        <v>880903</v>
      </c>
      <c r="B81" s="1" t="s">
        <v>92</v>
      </c>
      <c r="C81" s="1">
        <v>1.89</v>
      </c>
      <c r="D81" s="1">
        <v>702.79</v>
      </c>
      <c r="E81" s="1">
        <v>3370363392</v>
      </c>
      <c r="F81" s="1">
        <v>59.5</v>
      </c>
      <c r="H81" s="1">
        <v>12.6</v>
      </c>
      <c r="J81" s="1">
        <v>63.4</v>
      </c>
      <c r="L81" s="1">
        <v>50.1</v>
      </c>
    </row>
    <row r="82" spans="1:12">
      <c r="A82" s="1" t="str">
        <f>"880911"</f>
        <v>880911</v>
      </c>
      <c r="B82" s="1" t="s">
        <v>93</v>
      </c>
      <c r="C82" s="1">
        <v>1.88</v>
      </c>
      <c r="D82" s="1">
        <v>1788.49</v>
      </c>
      <c r="E82" s="1">
        <v>81947598848</v>
      </c>
      <c r="F82" s="1">
        <v>47.4</v>
      </c>
      <c r="H82" s="1">
        <v>28.2</v>
      </c>
      <c r="J82" s="1">
        <v>71.3</v>
      </c>
      <c r="L82" s="1">
        <v>42.4</v>
      </c>
    </row>
    <row r="83" spans="1:12">
      <c r="A83" s="1" t="str">
        <f>"880926"</f>
        <v>880926</v>
      </c>
      <c r="B83" s="1" t="s">
        <v>94</v>
      </c>
      <c r="C83" s="1">
        <v>1.88</v>
      </c>
      <c r="D83" s="1">
        <v>1514.52</v>
      </c>
      <c r="E83" s="1">
        <v>28404791296</v>
      </c>
      <c r="F83" s="1">
        <v>45</v>
      </c>
      <c r="H83" s="1">
        <v>39.4</v>
      </c>
      <c r="J83" s="1">
        <v>69.2</v>
      </c>
      <c r="L83" s="1">
        <v>54.5</v>
      </c>
    </row>
    <row r="84" spans="1:12">
      <c r="A84" s="1" t="str">
        <f>"880742"</f>
        <v>880742</v>
      </c>
      <c r="B84" s="1" t="s">
        <v>95</v>
      </c>
      <c r="C84" s="1">
        <v>1.85</v>
      </c>
      <c r="D84" s="1">
        <v>1350.71</v>
      </c>
      <c r="E84" s="1">
        <v>165769084928</v>
      </c>
      <c r="F84" s="1">
        <v>86.4</v>
      </c>
      <c r="H84" s="1">
        <v>46.7</v>
      </c>
      <c r="J84" s="1">
        <v>65.9</v>
      </c>
      <c r="L84" s="1">
        <v>76.9</v>
      </c>
    </row>
    <row r="85" spans="1:12">
      <c r="A85" s="1" t="str">
        <f>"880583"</f>
        <v>880583</v>
      </c>
      <c r="B85" s="1" t="s">
        <v>96</v>
      </c>
      <c r="C85" s="1">
        <v>1.85</v>
      </c>
      <c r="D85" s="1">
        <v>5563.13</v>
      </c>
      <c r="E85" s="1">
        <v>173465059328</v>
      </c>
      <c r="F85" s="1">
        <v>64.4</v>
      </c>
      <c r="H85" s="1">
        <v>59.5</v>
      </c>
      <c r="J85" s="1">
        <v>49.6</v>
      </c>
      <c r="L85" s="1">
        <v>70.1</v>
      </c>
    </row>
    <row r="86" spans="1:12">
      <c r="A86" s="1" t="str">
        <f>"880542"</f>
        <v>880542</v>
      </c>
      <c r="B86" s="1" t="s">
        <v>97</v>
      </c>
      <c r="C86" s="1">
        <v>1.83</v>
      </c>
      <c r="D86" s="1">
        <v>1906.45</v>
      </c>
      <c r="E86" s="1">
        <v>104146870272</v>
      </c>
      <c r="F86" s="1">
        <v>49</v>
      </c>
      <c r="H86" s="1">
        <v>50</v>
      </c>
      <c r="J86" s="1">
        <v>49.8</v>
      </c>
      <c r="L86" s="1">
        <v>47</v>
      </c>
    </row>
    <row r="87" spans="1:12">
      <c r="A87" s="1" t="str">
        <f>"880608"</f>
        <v>880608</v>
      </c>
      <c r="B87" s="1" t="s">
        <v>98</v>
      </c>
      <c r="C87" s="1">
        <v>1.82</v>
      </c>
      <c r="D87" s="1">
        <v>1639.17</v>
      </c>
      <c r="E87" s="1">
        <v>138350329856</v>
      </c>
      <c r="F87" s="1">
        <v>89.7</v>
      </c>
      <c r="H87" s="1">
        <v>94.8</v>
      </c>
      <c r="I87" s="1">
        <v>94.8</v>
      </c>
      <c r="J87" s="1">
        <v>82.2</v>
      </c>
      <c r="L87" s="1">
        <v>79.7</v>
      </c>
    </row>
    <row r="88" spans="1:12">
      <c r="A88" s="1" t="str">
        <f>"880624"</f>
        <v>880624</v>
      </c>
      <c r="B88" s="1" t="s">
        <v>99</v>
      </c>
      <c r="C88" s="1">
        <v>1.8</v>
      </c>
      <c r="D88" s="1">
        <v>1266.33</v>
      </c>
      <c r="E88" s="1">
        <v>39860428800</v>
      </c>
      <c r="F88" s="1">
        <v>47.6</v>
      </c>
      <c r="H88" s="1">
        <v>33.8</v>
      </c>
      <c r="J88" s="1">
        <v>62.4</v>
      </c>
      <c r="L88" s="1">
        <v>47.5</v>
      </c>
    </row>
    <row r="89" spans="1:12">
      <c r="A89" s="1" t="str">
        <f>"880560"</f>
        <v>880560</v>
      </c>
      <c r="B89" s="1" t="s">
        <v>100</v>
      </c>
      <c r="C89" s="1">
        <v>1.77</v>
      </c>
      <c r="D89" s="1">
        <v>2973.06</v>
      </c>
      <c r="E89" s="1">
        <v>211022200832</v>
      </c>
      <c r="F89" s="1">
        <v>75.7</v>
      </c>
      <c r="H89" s="1">
        <v>82.9</v>
      </c>
      <c r="J89" s="1">
        <v>73.8</v>
      </c>
      <c r="L89" s="1">
        <v>73.6</v>
      </c>
    </row>
    <row r="90" spans="1:12">
      <c r="A90" s="1" t="str">
        <f>"880745"</f>
        <v>880745</v>
      </c>
      <c r="B90" s="1" t="s">
        <v>101</v>
      </c>
      <c r="C90" s="1">
        <v>1.76</v>
      </c>
      <c r="D90" s="1">
        <v>1727.16</v>
      </c>
      <c r="E90" s="1">
        <v>4777674240</v>
      </c>
      <c r="F90" s="1">
        <v>15.6</v>
      </c>
      <c r="H90" s="1">
        <v>21.9</v>
      </c>
      <c r="J90" s="1">
        <v>65.7</v>
      </c>
      <c r="L90" s="1">
        <v>21.2</v>
      </c>
    </row>
    <row r="91" spans="1:12">
      <c r="A91" s="1" t="str">
        <f>"880671"</f>
        <v>880671</v>
      </c>
      <c r="B91" s="1" t="s">
        <v>102</v>
      </c>
      <c r="C91" s="1">
        <v>1.75</v>
      </c>
      <c r="D91" s="1">
        <v>1266.66</v>
      </c>
      <c r="E91" s="1">
        <v>113945444352</v>
      </c>
      <c r="F91" s="1">
        <v>45.3</v>
      </c>
      <c r="H91" s="1">
        <v>30.3</v>
      </c>
      <c r="J91" s="1">
        <v>70.1</v>
      </c>
      <c r="L91" s="1">
        <v>49.8</v>
      </c>
    </row>
    <row r="92" spans="1:12">
      <c r="A92" s="1" t="str">
        <f>"880632"</f>
        <v>880632</v>
      </c>
      <c r="B92" s="1" t="s">
        <v>103</v>
      </c>
      <c r="C92" s="1">
        <v>1.74</v>
      </c>
      <c r="D92" s="1">
        <v>1116.31</v>
      </c>
      <c r="E92" s="1">
        <v>63862988800</v>
      </c>
      <c r="F92" s="1">
        <v>79.2</v>
      </c>
      <c r="H92" s="1">
        <v>36.2</v>
      </c>
      <c r="J92" s="1">
        <v>63.1</v>
      </c>
      <c r="L92" s="1">
        <v>74.3</v>
      </c>
    </row>
    <row r="93" spans="1:12">
      <c r="A93" s="1" t="str">
        <f>"880569"</f>
        <v>880569</v>
      </c>
      <c r="B93" s="1" t="s">
        <v>104</v>
      </c>
      <c r="C93" s="1">
        <v>1.72</v>
      </c>
      <c r="D93" s="1">
        <v>4193.85</v>
      </c>
      <c r="E93" s="1">
        <v>78238760960</v>
      </c>
      <c r="F93" s="1">
        <v>70.7</v>
      </c>
      <c r="H93" s="1">
        <v>84.8</v>
      </c>
      <c r="J93" s="1">
        <v>59.9</v>
      </c>
      <c r="L93" s="1">
        <v>69.2</v>
      </c>
    </row>
    <row r="94" spans="1:12">
      <c r="A94" s="1" t="str">
        <f>"880759"</f>
        <v>880759</v>
      </c>
      <c r="B94" s="1" t="s">
        <v>105</v>
      </c>
      <c r="C94" s="1">
        <v>1.7</v>
      </c>
      <c r="D94" s="1">
        <v>1251.25</v>
      </c>
      <c r="E94" s="1">
        <v>36311416832</v>
      </c>
      <c r="F94" s="1">
        <v>45.5</v>
      </c>
      <c r="H94" s="1">
        <v>58.6</v>
      </c>
      <c r="J94" s="1">
        <v>43.3</v>
      </c>
      <c r="L94" s="1">
        <v>65</v>
      </c>
    </row>
    <row r="95" spans="1:12">
      <c r="A95" s="1" t="str">
        <f>"880744"</f>
        <v>880744</v>
      </c>
      <c r="B95" s="1" t="s">
        <v>106</v>
      </c>
      <c r="C95" s="1">
        <v>1.69</v>
      </c>
      <c r="D95" s="1">
        <v>1468.03</v>
      </c>
      <c r="E95" s="1">
        <v>16817133568</v>
      </c>
      <c r="F95" s="1">
        <v>67</v>
      </c>
      <c r="H95" s="1">
        <v>53.7</v>
      </c>
      <c r="J95" s="1">
        <v>82.5</v>
      </c>
      <c r="L95" s="1">
        <v>79</v>
      </c>
    </row>
    <row r="96" spans="1:12">
      <c r="A96" s="1" t="str">
        <f>"880585"</f>
        <v>880585</v>
      </c>
      <c r="B96" s="1" t="s">
        <v>107</v>
      </c>
      <c r="C96" s="1">
        <v>1.68</v>
      </c>
      <c r="D96" s="1">
        <v>1299.64</v>
      </c>
      <c r="E96" s="1">
        <v>3601238016</v>
      </c>
      <c r="F96" s="1">
        <v>87.3</v>
      </c>
      <c r="H96" s="1">
        <v>31</v>
      </c>
      <c r="J96" s="1">
        <v>90.2</v>
      </c>
      <c r="K96" s="1">
        <v>90.2</v>
      </c>
      <c r="L96" s="1">
        <v>58.5</v>
      </c>
    </row>
    <row r="97" spans="1:12">
      <c r="A97" s="1" t="str">
        <f>"880523"</f>
        <v>880523</v>
      </c>
      <c r="B97" s="1" t="s">
        <v>108</v>
      </c>
      <c r="C97" s="1">
        <v>1.68</v>
      </c>
      <c r="D97" s="1">
        <v>2345.94</v>
      </c>
      <c r="E97" s="1">
        <v>53246599168</v>
      </c>
      <c r="F97" s="1">
        <v>88.3</v>
      </c>
      <c r="H97" s="1">
        <v>96</v>
      </c>
      <c r="I97" s="1">
        <v>96</v>
      </c>
      <c r="J97" s="1">
        <v>86.9</v>
      </c>
      <c r="L97" s="1">
        <v>84.3</v>
      </c>
    </row>
    <row r="98" spans="1:12">
      <c r="A98" s="1" t="str">
        <f>"880599"</f>
        <v>880599</v>
      </c>
      <c r="B98" s="1" t="s">
        <v>109</v>
      </c>
      <c r="C98" s="1">
        <v>1.66</v>
      </c>
      <c r="D98" s="1">
        <v>2298.82</v>
      </c>
      <c r="E98" s="1">
        <v>19529863168</v>
      </c>
      <c r="F98" s="1">
        <v>25.2</v>
      </c>
      <c r="H98" s="1">
        <v>11.6</v>
      </c>
      <c r="J98" s="1">
        <v>16.5</v>
      </c>
      <c r="L98" s="1">
        <v>34.2</v>
      </c>
    </row>
    <row r="99" spans="1:12">
      <c r="A99" s="1" t="str">
        <f>"880605"</f>
        <v>880605</v>
      </c>
      <c r="B99" s="1" t="s">
        <v>110</v>
      </c>
      <c r="C99" s="1">
        <v>1.65</v>
      </c>
      <c r="D99" s="1">
        <v>1420.88</v>
      </c>
      <c r="E99" s="1">
        <v>21704833024</v>
      </c>
      <c r="F99" s="1">
        <v>53</v>
      </c>
      <c r="H99" s="1">
        <v>33.1</v>
      </c>
      <c r="J99" s="1">
        <v>77.6</v>
      </c>
      <c r="L99" s="1">
        <v>52.6</v>
      </c>
    </row>
    <row r="100" spans="1:13">
      <c r="A100" s="1" t="str">
        <f>"880914"</f>
        <v>880914</v>
      </c>
      <c r="B100" s="1" t="s">
        <v>111</v>
      </c>
      <c r="C100" s="1">
        <v>1.64</v>
      </c>
      <c r="D100" s="1">
        <v>1407.3</v>
      </c>
      <c r="E100" s="1">
        <v>22339911680</v>
      </c>
      <c r="F100" s="1">
        <v>26.4</v>
      </c>
      <c r="H100" s="1">
        <v>77.5</v>
      </c>
      <c r="J100" s="1">
        <v>17.4</v>
      </c>
      <c r="L100" s="1">
        <v>94.6</v>
      </c>
      <c r="M100" s="1">
        <v>94.6</v>
      </c>
    </row>
    <row r="101" spans="1:12">
      <c r="A101" s="1" t="str">
        <f>"880719"</f>
        <v>880719</v>
      </c>
      <c r="B101" s="1" t="s">
        <v>112</v>
      </c>
      <c r="C101" s="1">
        <v>1.62</v>
      </c>
      <c r="D101" s="1">
        <v>2406.04</v>
      </c>
      <c r="E101" s="1">
        <v>11474910208</v>
      </c>
      <c r="F101" s="1">
        <v>34.8</v>
      </c>
      <c r="H101" s="1">
        <v>24.7</v>
      </c>
      <c r="J101" s="1">
        <v>33.1</v>
      </c>
      <c r="L101" s="1">
        <v>51</v>
      </c>
    </row>
    <row r="102" spans="1:12">
      <c r="A102" s="1" t="str">
        <f>"880672"</f>
        <v>880672</v>
      </c>
      <c r="B102" s="1" t="s">
        <v>113</v>
      </c>
      <c r="C102" s="1">
        <v>1.59</v>
      </c>
      <c r="D102" s="1">
        <v>2366.54</v>
      </c>
      <c r="E102" s="1">
        <v>178859163648</v>
      </c>
      <c r="F102" s="1">
        <v>95.7</v>
      </c>
      <c r="G102" s="1">
        <v>95.7</v>
      </c>
      <c r="H102" s="1">
        <v>92.7</v>
      </c>
      <c r="I102" s="1">
        <v>92.7</v>
      </c>
      <c r="J102" s="1">
        <v>51.2</v>
      </c>
      <c r="L102" s="1">
        <v>85.7</v>
      </c>
    </row>
    <row r="103" spans="1:12">
      <c r="A103" s="1" t="str">
        <f>"880795"</f>
        <v>880795</v>
      </c>
      <c r="B103" s="1" t="s">
        <v>114</v>
      </c>
      <c r="C103" s="1">
        <v>1.56</v>
      </c>
      <c r="D103" s="1">
        <v>2269.54</v>
      </c>
      <c r="E103" s="1">
        <v>91947507712</v>
      </c>
      <c r="F103" s="1">
        <v>57.7</v>
      </c>
      <c r="H103" s="1">
        <v>44.1</v>
      </c>
      <c r="J103" s="1">
        <v>53.1</v>
      </c>
      <c r="L103" s="1">
        <v>53.8</v>
      </c>
    </row>
    <row r="104" spans="1:12">
      <c r="A104" s="1" t="str">
        <f>"880574"</f>
        <v>880574</v>
      </c>
      <c r="B104" s="1" t="s">
        <v>115</v>
      </c>
      <c r="C104" s="1">
        <v>1.56</v>
      </c>
      <c r="D104" s="1">
        <v>6814.63</v>
      </c>
      <c r="E104" s="1">
        <v>115554566144</v>
      </c>
      <c r="F104" s="1">
        <v>73.1</v>
      </c>
      <c r="H104" s="1">
        <v>84.5</v>
      </c>
      <c r="J104" s="1">
        <v>79.9</v>
      </c>
      <c r="L104" s="1">
        <v>81.8</v>
      </c>
    </row>
    <row r="105" spans="1:13">
      <c r="A105" s="1" t="str">
        <f>"880767"</f>
        <v>880767</v>
      </c>
      <c r="B105" s="1" t="s">
        <v>116</v>
      </c>
      <c r="C105" s="1">
        <v>1.53</v>
      </c>
      <c r="D105" s="1">
        <v>1335.11</v>
      </c>
      <c r="E105" s="1">
        <v>9674584064</v>
      </c>
      <c r="F105" s="1">
        <v>41.8</v>
      </c>
      <c r="H105" s="1">
        <v>72.1</v>
      </c>
      <c r="J105" s="1">
        <v>80.4</v>
      </c>
      <c r="L105" s="1">
        <v>91.6</v>
      </c>
      <c r="M105" s="1">
        <v>91.6</v>
      </c>
    </row>
    <row r="106" spans="1:12">
      <c r="A106" s="1" t="str">
        <f>"880955"</f>
        <v>880955</v>
      </c>
      <c r="B106" s="1" t="s">
        <v>117</v>
      </c>
      <c r="C106" s="1">
        <v>1.51</v>
      </c>
      <c r="D106" s="1">
        <v>1801.64</v>
      </c>
      <c r="E106" s="1">
        <v>129330839552</v>
      </c>
      <c r="F106" s="1">
        <v>35.2</v>
      </c>
      <c r="H106" s="1">
        <v>30.8</v>
      </c>
      <c r="J106" s="1">
        <v>56.1</v>
      </c>
      <c r="L106" s="1">
        <v>42.1</v>
      </c>
    </row>
    <row r="107" spans="1:12">
      <c r="A107" s="1" t="str">
        <f>"880661"</f>
        <v>880661</v>
      </c>
      <c r="B107" s="1" t="s">
        <v>118</v>
      </c>
      <c r="C107" s="1">
        <v>1.51</v>
      </c>
      <c r="D107" s="1">
        <v>2322.28</v>
      </c>
      <c r="E107" s="1">
        <v>98526699520</v>
      </c>
      <c r="F107" s="1">
        <v>92.7</v>
      </c>
      <c r="G107" s="1">
        <v>92.7</v>
      </c>
      <c r="H107" s="1">
        <v>98.5</v>
      </c>
      <c r="I107" s="1">
        <v>98.5</v>
      </c>
      <c r="J107" s="1">
        <v>45.6</v>
      </c>
      <c r="L107" s="1">
        <v>63.1</v>
      </c>
    </row>
    <row r="108" spans="1:12">
      <c r="A108" s="1" t="str">
        <f>"880950"</f>
        <v>880950</v>
      </c>
      <c r="B108" s="1" t="s">
        <v>119</v>
      </c>
      <c r="C108" s="1">
        <v>1.49</v>
      </c>
      <c r="D108" s="1">
        <v>1959.58</v>
      </c>
      <c r="E108" s="1">
        <v>120289984512</v>
      </c>
      <c r="F108" s="1">
        <v>64.7</v>
      </c>
      <c r="H108" s="1">
        <v>89.2</v>
      </c>
      <c r="J108" s="1">
        <v>24.4</v>
      </c>
      <c r="L108" s="1">
        <v>62.7</v>
      </c>
    </row>
    <row r="109" spans="1:12">
      <c r="A109" s="1" t="str">
        <f>"880951"</f>
        <v>880951</v>
      </c>
      <c r="B109" s="1" t="s">
        <v>120</v>
      </c>
      <c r="C109" s="1">
        <v>1.47</v>
      </c>
      <c r="D109" s="1">
        <v>2131.88</v>
      </c>
      <c r="E109" s="1">
        <v>527888908288</v>
      </c>
      <c r="F109" s="1">
        <v>80.1</v>
      </c>
      <c r="H109" s="1">
        <v>69.1</v>
      </c>
      <c r="J109" s="1">
        <v>52.9</v>
      </c>
      <c r="L109" s="1">
        <v>73.8</v>
      </c>
    </row>
    <row r="110" spans="1:12">
      <c r="A110" s="1" t="str">
        <f>"880966"</f>
        <v>880966</v>
      </c>
      <c r="B110" s="1" t="s">
        <v>121</v>
      </c>
      <c r="C110" s="1">
        <v>1.47</v>
      </c>
      <c r="D110" s="1">
        <v>2495.41</v>
      </c>
      <c r="E110" s="1">
        <v>290201567232</v>
      </c>
      <c r="F110" s="1">
        <v>56.3</v>
      </c>
      <c r="H110" s="1">
        <v>73.5</v>
      </c>
      <c r="J110" s="1">
        <v>64.8</v>
      </c>
      <c r="L110" s="1">
        <v>76.6</v>
      </c>
    </row>
    <row r="111" spans="1:12">
      <c r="A111" s="1" t="str">
        <f>"880506"</f>
        <v>880506</v>
      </c>
      <c r="B111" s="1" t="s">
        <v>122</v>
      </c>
      <c r="C111" s="1">
        <v>1.41</v>
      </c>
      <c r="D111" s="1">
        <v>3481.54</v>
      </c>
      <c r="E111" s="1">
        <v>378940686336</v>
      </c>
      <c r="F111" s="1">
        <v>69.1</v>
      </c>
      <c r="H111" s="1">
        <v>81.7</v>
      </c>
      <c r="J111" s="1">
        <v>66.8</v>
      </c>
      <c r="L111" s="1">
        <v>84.8</v>
      </c>
    </row>
    <row r="112" spans="1:12">
      <c r="A112" s="1" t="str">
        <f>"880635"</f>
        <v>880635</v>
      </c>
      <c r="B112" s="1" t="s">
        <v>123</v>
      </c>
      <c r="C112" s="1">
        <v>1.41</v>
      </c>
      <c r="D112" s="1">
        <v>2014.14</v>
      </c>
      <c r="E112" s="1">
        <v>154645954560</v>
      </c>
      <c r="F112" s="1">
        <v>89.2</v>
      </c>
      <c r="H112" s="1">
        <v>95</v>
      </c>
      <c r="I112" s="1">
        <v>95</v>
      </c>
      <c r="J112" s="1">
        <v>76.2</v>
      </c>
      <c r="L112" s="1">
        <v>85.5</v>
      </c>
    </row>
    <row r="113" spans="1:12">
      <c r="A113" s="1" t="str">
        <f>"880616"</f>
        <v>880616</v>
      </c>
      <c r="B113" s="1" t="s">
        <v>124</v>
      </c>
      <c r="C113" s="1">
        <v>1.4</v>
      </c>
      <c r="D113" s="1">
        <v>1825.38</v>
      </c>
      <c r="E113" s="1">
        <v>99165626368</v>
      </c>
      <c r="F113" s="1">
        <v>85</v>
      </c>
      <c r="H113" s="1">
        <v>95.7</v>
      </c>
      <c r="I113" s="1">
        <v>95.7</v>
      </c>
      <c r="J113" s="1">
        <v>54.7</v>
      </c>
      <c r="L113" s="1">
        <v>57.5</v>
      </c>
    </row>
    <row r="114" spans="1:12">
      <c r="A114" s="1" t="str">
        <f>"880755"</f>
        <v>880755</v>
      </c>
      <c r="B114" s="1" t="s">
        <v>125</v>
      </c>
      <c r="C114" s="1">
        <v>1.4</v>
      </c>
      <c r="D114" s="1">
        <v>1128.99</v>
      </c>
      <c r="E114" s="1">
        <v>69873696768</v>
      </c>
      <c r="F114" s="1">
        <v>78.7</v>
      </c>
      <c r="H114" s="1">
        <v>27.5</v>
      </c>
      <c r="J114" s="1">
        <v>45.2</v>
      </c>
      <c r="L114" s="1">
        <v>52.4</v>
      </c>
    </row>
    <row r="115" spans="1:12">
      <c r="A115" s="1" t="str">
        <f>"880709"</f>
        <v>880709</v>
      </c>
      <c r="B115" s="1" t="s">
        <v>126</v>
      </c>
      <c r="C115" s="1">
        <v>1.38</v>
      </c>
      <c r="D115" s="1">
        <v>1323.43</v>
      </c>
      <c r="E115" s="1">
        <v>3873260544</v>
      </c>
      <c r="F115" s="1">
        <v>38.3</v>
      </c>
      <c r="H115" s="1">
        <v>32.4</v>
      </c>
      <c r="J115" s="1">
        <v>56.8</v>
      </c>
      <c r="L115" s="1">
        <v>15.8</v>
      </c>
    </row>
    <row r="116" spans="1:12">
      <c r="A116" s="1" t="str">
        <f>"880684"</f>
        <v>880684</v>
      </c>
      <c r="B116" s="1" t="s">
        <v>127</v>
      </c>
      <c r="C116" s="1">
        <v>1.38</v>
      </c>
      <c r="D116" s="1">
        <v>1372.1</v>
      </c>
      <c r="E116" s="1">
        <v>41966010368</v>
      </c>
      <c r="F116" s="1">
        <v>95.5</v>
      </c>
      <c r="G116" s="1">
        <v>95.5</v>
      </c>
      <c r="H116" s="1">
        <v>95.5</v>
      </c>
      <c r="I116" s="1">
        <v>95.5</v>
      </c>
      <c r="J116" s="1">
        <v>97.9</v>
      </c>
      <c r="K116" s="1">
        <v>97.9</v>
      </c>
      <c r="L116" s="1">
        <v>7.6</v>
      </c>
    </row>
    <row r="117" spans="1:12">
      <c r="A117" s="1" t="str">
        <f>"880659"</f>
        <v>880659</v>
      </c>
      <c r="B117" s="1" t="s">
        <v>128</v>
      </c>
      <c r="C117" s="1">
        <v>1.37</v>
      </c>
      <c r="D117" s="1">
        <v>2068.4</v>
      </c>
      <c r="E117" s="1">
        <v>80374153216</v>
      </c>
      <c r="F117" s="1">
        <v>65.6</v>
      </c>
      <c r="H117" s="1">
        <v>86.9</v>
      </c>
      <c r="J117" s="1">
        <v>34</v>
      </c>
      <c r="L117" s="1">
        <v>72.4</v>
      </c>
    </row>
    <row r="118" spans="1:12">
      <c r="A118" s="1" t="str">
        <f>"880902"</f>
        <v>880902</v>
      </c>
      <c r="B118" s="1" t="s">
        <v>129</v>
      </c>
      <c r="C118" s="1">
        <v>1.31</v>
      </c>
      <c r="D118" s="1">
        <v>6228.01</v>
      </c>
      <c r="E118" s="1">
        <v>189816340480</v>
      </c>
      <c r="F118" s="1">
        <v>68.2</v>
      </c>
      <c r="H118" s="1">
        <v>73.3</v>
      </c>
      <c r="J118" s="1">
        <v>41.9</v>
      </c>
      <c r="L118" s="1">
        <v>69.4</v>
      </c>
    </row>
    <row r="119" spans="1:12">
      <c r="A119" s="1" t="str">
        <f>"880952"</f>
        <v>880952</v>
      </c>
      <c r="B119" s="1" t="s">
        <v>130</v>
      </c>
      <c r="C119" s="1">
        <v>1.3</v>
      </c>
      <c r="D119" s="1">
        <v>2942.09</v>
      </c>
      <c r="E119" s="1">
        <v>671533236224</v>
      </c>
      <c r="F119" s="1">
        <v>82.9</v>
      </c>
      <c r="H119" s="1">
        <v>86.6</v>
      </c>
      <c r="J119" s="1">
        <v>57.5</v>
      </c>
      <c r="L119" s="1">
        <v>68.7</v>
      </c>
    </row>
    <row r="120" spans="1:12">
      <c r="A120" s="1" t="str">
        <f>"880717"</f>
        <v>880717</v>
      </c>
      <c r="B120" s="1" t="s">
        <v>131</v>
      </c>
      <c r="C120" s="1">
        <v>1.29</v>
      </c>
      <c r="D120" s="1">
        <v>2216.77</v>
      </c>
      <c r="E120" s="1">
        <v>8281596928</v>
      </c>
      <c r="F120" s="1">
        <v>44.1</v>
      </c>
      <c r="H120" s="1">
        <v>55.1</v>
      </c>
      <c r="J120" s="1">
        <v>66.2</v>
      </c>
      <c r="L120" s="1">
        <v>15.3</v>
      </c>
    </row>
    <row r="121" spans="1:12">
      <c r="A121" s="1" t="str">
        <f>"880930"</f>
        <v>880930</v>
      </c>
      <c r="B121" s="1" t="s">
        <v>132</v>
      </c>
      <c r="C121" s="1">
        <v>1.27</v>
      </c>
      <c r="D121" s="1">
        <v>2967.58</v>
      </c>
      <c r="E121" s="1">
        <v>274308857856</v>
      </c>
      <c r="F121" s="1">
        <v>58.8</v>
      </c>
      <c r="H121" s="1">
        <v>77.3</v>
      </c>
      <c r="J121" s="1">
        <v>60.3</v>
      </c>
      <c r="L121" s="1">
        <v>83.6</v>
      </c>
    </row>
    <row r="122" spans="1:12">
      <c r="A122" s="1" t="str">
        <f>"880507"</f>
        <v>880507</v>
      </c>
      <c r="B122" s="1" t="s">
        <v>133</v>
      </c>
      <c r="C122" s="1">
        <v>1.26</v>
      </c>
      <c r="D122" s="1">
        <v>2406.16</v>
      </c>
      <c r="E122" s="1">
        <v>313947160576</v>
      </c>
      <c r="F122" s="1">
        <v>75.2</v>
      </c>
      <c r="H122" s="1">
        <v>89.9</v>
      </c>
      <c r="J122" s="1">
        <v>29.6</v>
      </c>
      <c r="L122" s="1">
        <v>59.4</v>
      </c>
    </row>
    <row r="123" spans="1:12">
      <c r="A123" s="1" t="str">
        <f>"880929"</f>
        <v>880929</v>
      </c>
      <c r="B123" s="1" t="s">
        <v>134</v>
      </c>
      <c r="C123" s="1">
        <v>1.25</v>
      </c>
      <c r="D123" s="1">
        <v>1830.95</v>
      </c>
      <c r="E123" s="1">
        <v>10796476416</v>
      </c>
      <c r="F123" s="1">
        <v>7</v>
      </c>
      <c r="H123" s="1">
        <v>11.4</v>
      </c>
      <c r="J123" s="1">
        <v>34.2</v>
      </c>
      <c r="L123" s="1">
        <v>37.2</v>
      </c>
    </row>
    <row r="124" spans="1:12">
      <c r="A124" s="1" t="str">
        <f>"880757"</f>
        <v>880757</v>
      </c>
      <c r="B124" s="1" t="s">
        <v>135</v>
      </c>
      <c r="C124" s="1">
        <v>1.25</v>
      </c>
      <c r="D124" s="1">
        <v>1502.51</v>
      </c>
      <c r="E124" s="1">
        <v>44412067840</v>
      </c>
      <c r="F124" s="1">
        <v>39.4</v>
      </c>
      <c r="H124" s="1">
        <v>35</v>
      </c>
      <c r="J124" s="1">
        <v>34.7</v>
      </c>
      <c r="L124" s="1">
        <v>39.6</v>
      </c>
    </row>
    <row r="125" spans="1:12">
      <c r="A125" s="1" t="str">
        <f>"880655"</f>
        <v>880655</v>
      </c>
      <c r="B125" s="1" t="s">
        <v>136</v>
      </c>
      <c r="C125" s="1">
        <v>1.23</v>
      </c>
      <c r="D125" s="1">
        <v>1153.17</v>
      </c>
      <c r="E125" s="1">
        <v>64309137408</v>
      </c>
      <c r="F125" s="1">
        <v>91.1</v>
      </c>
      <c r="G125" s="1">
        <v>91.1</v>
      </c>
      <c r="H125" s="1">
        <v>92.2</v>
      </c>
      <c r="I125" s="1">
        <v>92.2</v>
      </c>
      <c r="J125" s="1">
        <v>95.3</v>
      </c>
      <c r="K125" s="1">
        <v>95.3</v>
      </c>
      <c r="L125" s="1">
        <v>7.2</v>
      </c>
    </row>
    <row r="126" spans="1:12">
      <c r="A126" s="1" t="str">
        <f>"880968"</f>
        <v>880968</v>
      </c>
      <c r="B126" s="1" t="s">
        <v>137</v>
      </c>
      <c r="C126" s="1">
        <v>1.22</v>
      </c>
      <c r="D126" s="1">
        <v>2609.51</v>
      </c>
      <c r="E126" s="1">
        <v>8238782976</v>
      </c>
      <c r="F126" s="1">
        <v>36.9</v>
      </c>
      <c r="H126" s="1">
        <v>50.4</v>
      </c>
      <c r="J126" s="1">
        <v>26.3</v>
      </c>
      <c r="L126" s="1">
        <v>68.5</v>
      </c>
    </row>
    <row r="127" spans="1:12">
      <c r="A127" s="1" t="str">
        <f>"880736"</f>
        <v>880736</v>
      </c>
      <c r="B127" s="1" t="s">
        <v>138</v>
      </c>
      <c r="C127" s="1">
        <v>1.21</v>
      </c>
      <c r="D127" s="1">
        <v>2003.84</v>
      </c>
      <c r="E127" s="1">
        <v>57202745344</v>
      </c>
      <c r="F127" s="1">
        <v>83.1</v>
      </c>
      <c r="H127" s="1">
        <v>85.7</v>
      </c>
      <c r="J127" s="1">
        <v>56.6</v>
      </c>
      <c r="L127" s="1">
        <v>86.9</v>
      </c>
    </row>
    <row r="128" spans="1:12">
      <c r="A128" s="1" t="str">
        <f>"880919"</f>
        <v>880919</v>
      </c>
      <c r="B128" s="1" t="s">
        <v>139</v>
      </c>
      <c r="C128" s="1">
        <v>1.18</v>
      </c>
      <c r="D128" s="1">
        <v>2318.5</v>
      </c>
      <c r="E128" s="1">
        <v>136153784320</v>
      </c>
      <c r="F128" s="1">
        <v>56</v>
      </c>
      <c r="H128" s="1">
        <v>43.2</v>
      </c>
      <c r="J128" s="1">
        <v>65.2</v>
      </c>
      <c r="L128" s="1">
        <v>45.4</v>
      </c>
    </row>
    <row r="129" spans="1:12">
      <c r="A129" s="1" t="str">
        <f>"880704"</f>
        <v>880704</v>
      </c>
      <c r="B129" s="1" t="s">
        <v>140</v>
      </c>
      <c r="C129" s="1">
        <v>1.13</v>
      </c>
      <c r="D129" s="1">
        <v>1003.87</v>
      </c>
      <c r="E129" s="1">
        <v>8464717824</v>
      </c>
      <c r="F129" s="1">
        <v>21</v>
      </c>
      <c r="H129" s="1">
        <v>25.9</v>
      </c>
      <c r="J129" s="1">
        <v>40</v>
      </c>
      <c r="L129" s="1">
        <v>36.3</v>
      </c>
    </row>
    <row r="130" spans="1:12">
      <c r="A130" s="1" t="str">
        <f>"880548"</f>
        <v>880548</v>
      </c>
      <c r="B130" s="1" t="s">
        <v>141</v>
      </c>
      <c r="C130" s="1">
        <v>1.12</v>
      </c>
      <c r="D130" s="1">
        <v>2340.7</v>
      </c>
      <c r="E130" s="1">
        <v>330976395264</v>
      </c>
      <c r="F130" s="1">
        <v>89.4</v>
      </c>
      <c r="H130" s="1">
        <v>98.3</v>
      </c>
      <c r="I130" s="1">
        <v>98.3</v>
      </c>
      <c r="J130" s="1">
        <v>28.6</v>
      </c>
      <c r="L130" s="1">
        <v>42.8</v>
      </c>
    </row>
    <row r="131" spans="1:12">
      <c r="A131" s="1" t="str">
        <f>"880530"</f>
        <v>880530</v>
      </c>
      <c r="B131" s="1" t="s">
        <v>142</v>
      </c>
      <c r="C131" s="1">
        <v>1.11</v>
      </c>
      <c r="D131" s="1">
        <v>1377.51</v>
      </c>
      <c r="E131" s="1">
        <v>31329576960</v>
      </c>
      <c r="F131" s="1">
        <v>17.5</v>
      </c>
      <c r="H131" s="1">
        <v>22.4</v>
      </c>
      <c r="J131" s="1">
        <v>33.3</v>
      </c>
      <c r="L131" s="1">
        <v>31.7</v>
      </c>
    </row>
    <row r="132" spans="1:12">
      <c r="A132" s="1" t="str">
        <f>"880502"</f>
        <v>880502</v>
      </c>
      <c r="B132" s="1" t="s">
        <v>143</v>
      </c>
      <c r="C132" s="1">
        <v>1.08</v>
      </c>
      <c r="D132" s="1">
        <v>1378.51</v>
      </c>
      <c r="E132" s="1">
        <v>15121020928</v>
      </c>
      <c r="F132" s="1">
        <v>12.6</v>
      </c>
      <c r="H132" s="1">
        <v>13.3</v>
      </c>
      <c r="J132" s="1">
        <v>30.7</v>
      </c>
      <c r="L132" s="1">
        <v>27.2</v>
      </c>
    </row>
    <row r="133" spans="1:12">
      <c r="A133" s="1" t="str">
        <f>"880566"</f>
        <v>880566</v>
      </c>
      <c r="B133" s="1" t="s">
        <v>144</v>
      </c>
      <c r="C133" s="1">
        <v>1.07</v>
      </c>
      <c r="D133" s="1">
        <v>2343.21</v>
      </c>
      <c r="E133" s="1">
        <v>126662148096</v>
      </c>
      <c r="F133" s="1">
        <v>51.6</v>
      </c>
      <c r="H133" s="1">
        <v>66.5</v>
      </c>
      <c r="J133" s="1">
        <v>46.8</v>
      </c>
      <c r="L133" s="1">
        <v>67.1</v>
      </c>
    </row>
    <row r="134" spans="1:12">
      <c r="A134" s="1" t="str">
        <f>"880939"</f>
        <v>880939</v>
      </c>
      <c r="B134" s="1" t="s">
        <v>145</v>
      </c>
      <c r="C134" s="1">
        <v>1.05</v>
      </c>
      <c r="D134" s="1">
        <v>1075.67</v>
      </c>
      <c r="E134" s="1">
        <v>239081914368</v>
      </c>
      <c r="F134" s="1">
        <v>56.5</v>
      </c>
      <c r="H134" s="1">
        <v>79.2</v>
      </c>
      <c r="J134" s="1">
        <v>36.5</v>
      </c>
      <c r="L134" s="1">
        <v>67.5</v>
      </c>
    </row>
    <row r="135" spans="1:12">
      <c r="A135" s="1" t="str">
        <f>"880904"</f>
        <v>880904</v>
      </c>
      <c r="B135" s="1" t="s">
        <v>146</v>
      </c>
      <c r="C135" s="1">
        <v>1.05</v>
      </c>
      <c r="D135" s="1">
        <v>5612.25</v>
      </c>
      <c r="E135" s="1">
        <v>542961926144</v>
      </c>
      <c r="F135" s="1">
        <v>45.7</v>
      </c>
      <c r="H135" s="1">
        <v>63.3</v>
      </c>
      <c r="J135" s="1">
        <v>37.7</v>
      </c>
      <c r="L135" s="1">
        <v>60.3</v>
      </c>
    </row>
    <row r="136" spans="1:12">
      <c r="A136" s="1" t="str">
        <f>"880743"</f>
        <v>880743</v>
      </c>
      <c r="B136" s="1" t="s">
        <v>147</v>
      </c>
      <c r="C136" s="1">
        <v>1.04</v>
      </c>
      <c r="D136" s="1">
        <v>1367.75</v>
      </c>
      <c r="E136" s="1">
        <v>41777082368</v>
      </c>
      <c r="F136" s="1">
        <v>42</v>
      </c>
      <c r="H136" s="1">
        <v>24.2</v>
      </c>
      <c r="J136" s="1">
        <v>59.6</v>
      </c>
      <c r="L136" s="1">
        <v>16.7</v>
      </c>
    </row>
    <row r="137" spans="1:12">
      <c r="A137" s="1" t="str">
        <f>"880513"</f>
        <v>880513</v>
      </c>
      <c r="B137" s="1" t="s">
        <v>148</v>
      </c>
      <c r="C137" s="1">
        <v>1.02</v>
      </c>
      <c r="D137" s="1">
        <v>2478.75</v>
      </c>
      <c r="E137" s="1">
        <v>73079119872</v>
      </c>
      <c r="F137" s="1">
        <v>82</v>
      </c>
      <c r="H137" s="1">
        <v>53.9</v>
      </c>
      <c r="J137" s="1">
        <v>29.3</v>
      </c>
      <c r="L137" s="1">
        <v>26.3</v>
      </c>
    </row>
    <row r="138" spans="1:12">
      <c r="A138" s="1" t="str">
        <f>"880540"</f>
        <v>880540</v>
      </c>
      <c r="B138" s="1" t="s">
        <v>149</v>
      </c>
      <c r="C138" s="1">
        <v>1.02</v>
      </c>
      <c r="D138" s="1">
        <v>2110.93</v>
      </c>
      <c r="E138" s="1">
        <v>248867962880</v>
      </c>
      <c r="F138" s="1">
        <v>71.4</v>
      </c>
      <c r="H138" s="1">
        <v>45.7</v>
      </c>
      <c r="J138" s="1">
        <v>46.3</v>
      </c>
      <c r="L138" s="1">
        <v>43.5</v>
      </c>
    </row>
    <row r="139" spans="1:12">
      <c r="A139" s="1" t="str">
        <f>"880737"</f>
        <v>880737</v>
      </c>
      <c r="B139" s="1" t="s">
        <v>150</v>
      </c>
      <c r="C139" s="1">
        <v>1.01</v>
      </c>
      <c r="D139" s="1">
        <v>1375.35</v>
      </c>
      <c r="E139" s="1">
        <v>43863953408</v>
      </c>
      <c r="F139" s="1">
        <v>89</v>
      </c>
      <c r="H139" s="1">
        <v>88</v>
      </c>
      <c r="J139" s="1">
        <v>95.8</v>
      </c>
      <c r="K139" s="1">
        <v>95.8</v>
      </c>
      <c r="L139" s="1">
        <v>3.7</v>
      </c>
    </row>
    <row r="140" spans="1:12">
      <c r="A140" s="1" t="str">
        <f>"880589"</f>
        <v>880589</v>
      </c>
      <c r="B140" s="1" t="s">
        <v>151</v>
      </c>
      <c r="C140" s="1">
        <v>1</v>
      </c>
      <c r="D140" s="1">
        <v>3190.85</v>
      </c>
      <c r="E140" s="1">
        <v>150142599168</v>
      </c>
      <c r="F140" s="1">
        <v>41.5</v>
      </c>
      <c r="H140" s="1">
        <v>58.1</v>
      </c>
      <c r="J140" s="1">
        <v>32.1</v>
      </c>
      <c r="L140" s="1">
        <v>64.5</v>
      </c>
    </row>
    <row r="141" spans="1:12">
      <c r="A141" s="1" t="str">
        <f>"880638"</f>
        <v>880638</v>
      </c>
      <c r="B141" s="1" t="s">
        <v>152</v>
      </c>
      <c r="C141" s="1">
        <v>1</v>
      </c>
      <c r="D141" s="1">
        <v>968.14</v>
      </c>
      <c r="E141" s="1">
        <v>47759896576</v>
      </c>
      <c r="F141" s="1">
        <v>93.9</v>
      </c>
      <c r="G141" s="1">
        <v>93.9</v>
      </c>
      <c r="H141" s="1">
        <v>88.3</v>
      </c>
      <c r="J141" s="1">
        <v>97.2</v>
      </c>
      <c r="K141" s="1">
        <v>97.2</v>
      </c>
      <c r="L141" s="1">
        <v>10.4</v>
      </c>
    </row>
    <row r="142" spans="1:12">
      <c r="A142" s="1" t="str">
        <f>"880686"</f>
        <v>880686</v>
      </c>
      <c r="B142" s="1" t="s">
        <v>153</v>
      </c>
      <c r="C142" s="1">
        <v>0.99</v>
      </c>
      <c r="D142" s="1">
        <v>1852.27</v>
      </c>
      <c r="E142" s="1">
        <v>88704827392</v>
      </c>
      <c r="F142" s="1">
        <v>38</v>
      </c>
      <c r="H142" s="1">
        <v>59.8</v>
      </c>
      <c r="J142" s="1">
        <v>31.4</v>
      </c>
      <c r="L142" s="1">
        <v>71.3</v>
      </c>
    </row>
    <row r="143" spans="1:12">
      <c r="A143" s="1" t="str">
        <f>"880529"</f>
        <v>880529</v>
      </c>
      <c r="B143" s="1" t="s">
        <v>154</v>
      </c>
      <c r="C143" s="1">
        <v>0.97</v>
      </c>
      <c r="D143" s="1">
        <v>947.57</v>
      </c>
      <c r="E143" s="1">
        <v>20147054592</v>
      </c>
      <c r="F143" s="1">
        <v>1.8</v>
      </c>
      <c r="H143" s="1">
        <v>3.2</v>
      </c>
      <c r="J143" s="1">
        <v>4.6</v>
      </c>
      <c r="L143" s="1">
        <v>25.6</v>
      </c>
    </row>
    <row r="144" spans="1:13">
      <c r="A144" s="1" t="str">
        <f>"880685"</f>
        <v>880685</v>
      </c>
      <c r="B144" s="1" t="s">
        <v>155</v>
      </c>
      <c r="C144" s="1">
        <v>0.97</v>
      </c>
      <c r="D144" s="1">
        <v>2361.39</v>
      </c>
      <c r="E144" s="1">
        <v>194550398976</v>
      </c>
      <c r="F144" s="1">
        <v>63.5</v>
      </c>
      <c r="H144" s="1">
        <v>82.2</v>
      </c>
      <c r="J144" s="1">
        <v>76.6</v>
      </c>
      <c r="L144" s="1">
        <v>91.3</v>
      </c>
      <c r="M144" s="1">
        <v>91.3</v>
      </c>
    </row>
    <row r="145" spans="1:12">
      <c r="A145" s="1" t="str">
        <f>"880650"</f>
        <v>880650</v>
      </c>
      <c r="B145" s="1" t="s">
        <v>156</v>
      </c>
      <c r="C145" s="1">
        <v>0.96</v>
      </c>
      <c r="D145" s="1">
        <v>1522.26</v>
      </c>
      <c r="E145" s="1">
        <v>17153585152</v>
      </c>
      <c r="F145" s="1">
        <v>22.1</v>
      </c>
      <c r="H145" s="1">
        <v>47.6</v>
      </c>
      <c r="J145" s="1">
        <v>37.9</v>
      </c>
      <c r="L145" s="1">
        <v>46.6</v>
      </c>
    </row>
    <row r="146" spans="1:12">
      <c r="A146" s="1" t="str">
        <f>"880799"</f>
        <v>880799</v>
      </c>
      <c r="B146" s="1" t="s">
        <v>157</v>
      </c>
      <c r="C146" s="1">
        <v>0.96</v>
      </c>
      <c r="D146" s="1">
        <v>2064.06</v>
      </c>
      <c r="E146" s="1">
        <v>534272966656</v>
      </c>
      <c r="F146" s="1">
        <v>61.2</v>
      </c>
      <c r="H146" s="1">
        <v>72.6</v>
      </c>
      <c r="J146" s="1">
        <v>72</v>
      </c>
      <c r="L146" s="1">
        <v>79.4</v>
      </c>
    </row>
    <row r="147" spans="1:12">
      <c r="A147" s="1" t="str">
        <f>"880516"</f>
        <v>880516</v>
      </c>
      <c r="B147" s="1" t="s">
        <v>158</v>
      </c>
      <c r="C147" s="1">
        <v>0.95</v>
      </c>
      <c r="D147" s="1">
        <v>1296.91</v>
      </c>
      <c r="E147" s="1">
        <v>13134972928</v>
      </c>
      <c r="F147" s="1">
        <v>55.6</v>
      </c>
      <c r="H147" s="1">
        <v>17.7</v>
      </c>
      <c r="J147" s="1">
        <v>44.2</v>
      </c>
      <c r="L147" s="1">
        <v>51.5</v>
      </c>
    </row>
    <row r="148" spans="1:12">
      <c r="A148" s="1" t="str">
        <f>"880906"</f>
        <v>880906</v>
      </c>
      <c r="B148" s="1" t="s">
        <v>159</v>
      </c>
      <c r="C148" s="1">
        <v>0.95</v>
      </c>
      <c r="D148" s="1">
        <v>3771.38</v>
      </c>
      <c r="E148" s="1">
        <v>104871124992</v>
      </c>
      <c r="F148" s="1">
        <v>36.4</v>
      </c>
      <c r="H148" s="1">
        <v>42.2</v>
      </c>
      <c r="J148" s="1">
        <v>44.5</v>
      </c>
      <c r="L148" s="1">
        <v>54.3</v>
      </c>
    </row>
    <row r="149" spans="1:12">
      <c r="A149" s="1" t="str">
        <f>"880682"</f>
        <v>880682</v>
      </c>
      <c r="B149" s="1" t="s">
        <v>160</v>
      </c>
      <c r="C149" s="1">
        <v>0.94</v>
      </c>
      <c r="D149" s="1">
        <v>1754.99</v>
      </c>
      <c r="E149" s="1">
        <v>45176373248</v>
      </c>
      <c r="F149" s="1">
        <v>43.6</v>
      </c>
      <c r="H149" s="1">
        <v>70</v>
      </c>
      <c r="J149" s="1">
        <v>41.4</v>
      </c>
      <c r="L149" s="1">
        <v>59.9</v>
      </c>
    </row>
    <row r="150" spans="1:12">
      <c r="A150" s="1" t="str">
        <f>"880973"</f>
        <v>880973</v>
      </c>
      <c r="B150" s="1" t="s">
        <v>161</v>
      </c>
      <c r="C150" s="1">
        <v>0.92</v>
      </c>
      <c r="D150" s="1">
        <v>1209.86</v>
      </c>
      <c r="E150" s="1">
        <v>19458404352</v>
      </c>
      <c r="F150" s="1">
        <v>16.3</v>
      </c>
      <c r="H150" s="1">
        <v>15.6</v>
      </c>
      <c r="J150" s="1">
        <v>18.6</v>
      </c>
      <c r="L150" s="1">
        <v>19.3</v>
      </c>
    </row>
    <row r="151" spans="1:12">
      <c r="A151" s="1" t="str">
        <f>"880766"</f>
        <v>880766</v>
      </c>
      <c r="B151" s="1" t="s">
        <v>162</v>
      </c>
      <c r="C151" s="1">
        <v>0.91</v>
      </c>
      <c r="D151" s="1">
        <v>1013.5</v>
      </c>
      <c r="E151" s="1">
        <v>8455076352</v>
      </c>
      <c r="F151" s="1">
        <v>7.7</v>
      </c>
      <c r="H151" s="1">
        <v>6</v>
      </c>
      <c r="J151" s="1">
        <v>14.2</v>
      </c>
      <c r="L151" s="1">
        <v>17</v>
      </c>
    </row>
    <row r="152" spans="1:12">
      <c r="A152" s="1" t="str">
        <f>"880695"</f>
        <v>880695</v>
      </c>
      <c r="B152" s="1" t="s">
        <v>163</v>
      </c>
      <c r="C152" s="1">
        <v>0.91</v>
      </c>
      <c r="D152" s="1">
        <v>2119.49</v>
      </c>
      <c r="E152" s="1">
        <v>22828519424</v>
      </c>
      <c r="F152" s="1">
        <v>43.4</v>
      </c>
      <c r="H152" s="1">
        <v>74.7</v>
      </c>
      <c r="J152" s="1">
        <v>11.8</v>
      </c>
      <c r="L152" s="1">
        <v>54</v>
      </c>
    </row>
    <row r="153" spans="1:12">
      <c r="A153" s="1" t="str">
        <f>"880696"</f>
        <v>880696</v>
      </c>
      <c r="B153" s="1" t="s">
        <v>164</v>
      </c>
      <c r="C153" s="1">
        <v>0.9</v>
      </c>
      <c r="D153" s="1">
        <v>1799.29</v>
      </c>
      <c r="E153" s="1">
        <v>76228485120</v>
      </c>
      <c r="F153" s="1">
        <v>49.2</v>
      </c>
      <c r="H153" s="1">
        <v>66.3</v>
      </c>
      <c r="J153" s="1">
        <v>31</v>
      </c>
      <c r="L153" s="1">
        <v>62.9</v>
      </c>
    </row>
    <row r="154" spans="1:12">
      <c r="A154" s="1" t="str">
        <f>"880598"</f>
        <v>880598</v>
      </c>
      <c r="B154" s="1" t="s">
        <v>165</v>
      </c>
      <c r="C154" s="1">
        <v>0.9</v>
      </c>
      <c r="D154" s="1">
        <v>2985.68</v>
      </c>
      <c r="E154" s="1">
        <v>8540346368</v>
      </c>
      <c r="F154" s="1">
        <v>54.4</v>
      </c>
      <c r="H154" s="1">
        <v>68.6</v>
      </c>
      <c r="J154" s="1">
        <v>74.3</v>
      </c>
      <c r="L154" s="1">
        <v>43.3</v>
      </c>
    </row>
    <row r="155" spans="1:12">
      <c r="A155" s="1" t="str">
        <f>"880965"</f>
        <v>880965</v>
      </c>
      <c r="B155" s="1" t="s">
        <v>166</v>
      </c>
      <c r="C155" s="1">
        <v>0.9</v>
      </c>
      <c r="D155" s="1">
        <v>2596.29</v>
      </c>
      <c r="E155" s="1">
        <v>80909828096</v>
      </c>
      <c r="F155" s="1">
        <v>57.2</v>
      </c>
      <c r="H155" s="1">
        <v>69.6</v>
      </c>
      <c r="J155" s="1">
        <v>67.3</v>
      </c>
      <c r="L155" s="1">
        <v>80.6</v>
      </c>
    </row>
    <row r="156" spans="1:12">
      <c r="A156" s="1" t="str">
        <f>"880501"</f>
        <v>880501</v>
      </c>
      <c r="B156" s="1" t="s">
        <v>167</v>
      </c>
      <c r="C156" s="1">
        <v>0.89</v>
      </c>
      <c r="D156" s="1">
        <v>2323.34</v>
      </c>
      <c r="E156" s="1">
        <v>220478734336</v>
      </c>
      <c r="F156" s="1">
        <v>32</v>
      </c>
      <c r="H156" s="1">
        <v>8.8</v>
      </c>
      <c r="J156" s="1">
        <v>36.8</v>
      </c>
      <c r="L156" s="1">
        <v>27</v>
      </c>
    </row>
    <row r="157" spans="1:12">
      <c r="A157" s="1" t="str">
        <f>"880944"</f>
        <v>880944</v>
      </c>
      <c r="B157" s="1" t="s">
        <v>168</v>
      </c>
      <c r="C157" s="1">
        <v>0.87</v>
      </c>
      <c r="D157" s="1">
        <v>3174.52</v>
      </c>
      <c r="E157" s="1">
        <v>251081670656</v>
      </c>
      <c r="F157" s="1">
        <v>51.4</v>
      </c>
      <c r="H157" s="1">
        <v>71</v>
      </c>
      <c r="J157" s="1">
        <v>44.7</v>
      </c>
      <c r="L157" s="1">
        <v>66.2</v>
      </c>
    </row>
    <row r="158" spans="1:12">
      <c r="A158" s="1" t="str">
        <f>"880913"</f>
        <v>880913</v>
      </c>
      <c r="B158" s="1" t="s">
        <v>169</v>
      </c>
      <c r="C158" s="1">
        <v>0.87</v>
      </c>
      <c r="D158" s="1">
        <v>2943.02</v>
      </c>
      <c r="E158" s="1">
        <v>29800304640</v>
      </c>
      <c r="F158" s="1">
        <v>9.5</v>
      </c>
      <c r="H158" s="1">
        <v>14.9</v>
      </c>
      <c r="J158" s="1">
        <v>20.5</v>
      </c>
      <c r="L158" s="1">
        <v>25.1</v>
      </c>
    </row>
    <row r="159" spans="1:12">
      <c r="A159" s="1" t="str">
        <f>"880707"</f>
        <v>880707</v>
      </c>
      <c r="B159" s="1" t="s">
        <v>170</v>
      </c>
      <c r="C159" s="1">
        <v>0.86</v>
      </c>
      <c r="D159" s="1">
        <v>1422.62</v>
      </c>
      <c r="E159" s="1">
        <v>18986199040</v>
      </c>
      <c r="F159" s="1">
        <v>10.2</v>
      </c>
      <c r="H159" s="1">
        <v>13.5</v>
      </c>
      <c r="J159" s="1">
        <v>17.7</v>
      </c>
      <c r="L159" s="1">
        <v>20.5</v>
      </c>
    </row>
    <row r="160" spans="1:12">
      <c r="A160" s="1" t="str">
        <f>"880760"</f>
        <v>880760</v>
      </c>
      <c r="B160" s="1" t="s">
        <v>171</v>
      </c>
      <c r="C160" s="1">
        <v>0.85</v>
      </c>
      <c r="D160" s="1">
        <v>1204.42</v>
      </c>
      <c r="E160" s="1">
        <v>15851914240</v>
      </c>
      <c r="F160" s="1">
        <v>21.4</v>
      </c>
      <c r="H160" s="1">
        <v>12.1</v>
      </c>
      <c r="J160" s="1">
        <v>17</v>
      </c>
      <c r="L160" s="1">
        <v>5.8</v>
      </c>
    </row>
    <row r="161" spans="1:12">
      <c r="A161" s="1" t="str">
        <f>"880697"</f>
        <v>880697</v>
      </c>
      <c r="B161" s="1" t="s">
        <v>172</v>
      </c>
      <c r="C161" s="1">
        <v>0.84</v>
      </c>
      <c r="D161" s="1">
        <v>1997.43</v>
      </c>
      <c r="E161" s="1">
        <v>56357830656</v>
      </c>
      <c r="F161" s="1">
        <v>38.5</v>
      </c>
      <c r="H161" s="1">
        <v>64.9</v>
      </c>
      <c r="J161" s="1">
        <v>19.3</v>
      </c>
      <c r="L161" s="1">
        <v>67.8</v>
      </c>
    </row>
    <row r="162" spans="1:12">
      <c r="A162" s="1" t="str">
        <f>"880764"</f>
        <v>880764</v>
      </c>
      <c r="B162" s="1" t="s">
        <v>173</v>
      </c>
      <c r="C162" s="1">
        <v>0.83</v>
      </c>
      <c r="D162" s="1">
        <v>911.06</v>
      </c>
      <c r="E162" s="1">
        <v>2463983360</v>
      </c>
      <c r="F162" s="1">
        <v>12.1</v>
      </c>
      <c r="H162" s="1">
        <v>2.3</v>
      </c>
      <c r="J162" s="1">
        <v>39.1</v>
      </c>
      <c r="L162" s="1">
        <v>9.3</v>
      </c>
    </row>
    <row r="163" spans="1:12">
      <c r="A163" s="1" t="str">
        <f>"880593"</f>
        <v>880593</v>
      </c>
      <c r="B163" s="1" t="s">
        <v>174</v>
      </c>
      <c r="C163" s="1">
        <v>0.83</v>
      </c>
      <c r="D163" s="1">
        <v>2998.06</v>
      </c>
      <c r="E163" s="1">
        <v>34553810944</v>
      </c>
      <c r="F163" s="1">
        <v>18.2</v>
      </c>
      <c r="H163" s="1">
        <v>19.6</v>
      </c>
      <c r="J163" s="1">
        <v>24</v>
      </c>
      <c r="L163" s="1">
        <v>19.8</v>
      </c>
    </row>
    <row r="164" spans="1:12">
      <c r="A164" s="1" t="str">
        <f>"880533"</f>
        <v>880533</v>
      </c>
      <c r="B164" s="1" t="s">
        <v>175</v>
      </c>
      <c r="C164" s="1">
        <v>0.83</v>
      </c>
      <c r="D164" s="1">
        <v>2540.09</v>
      </c>
      <c r="E164" s="1">
        <v>271003598848</v>
      </c>
      <c r="F164" s="1">
        <v>35</v>
      </c>
      <c r="H164" s="1">
        <v>50.2</v>
      </c>
      <c r="J164" s="1">
        <v>29.1</v>
      </c>
      <c r="L164" s="1">
        <v>53.3</v>
      </c>
    </row>
    <row r="165" spans="1:12">
      <c r="A165" s="1" t="str">
        <f>"880969"</f>
        <v>880969</v>
      </c>
      <c r="B165" s="1" t="s">
        <v>176</v>
      </c>
      <c r="C165" s="1">
        <v>0.82</v>
      </c>
      <c r="D165" s="1">
        <v>3051.26</v>
      </c>
      <c r="E165" s="1">
        <v>78306992128</v>
      </c>
      <c r="F165" s="1">
        <v>40.8</v>
      </c>
      <c r="H165" s="1">
        <v>50.9</v>
      </c>
      <c r="J165" s="1">
        <v>47.5</v>
      </c>
      <c r="L165" s="1">
        <v>75.2</v>
      </c>
    </row>
    <row r="166" spans="1:12">
      <c r="A166" s="1" t="str">
        <f>"880673"</f>
        <v>880673</v>
      </c>
      <c r="B166" s="1" t="s">
        <v>177</v>
      </c>
      <c r="C166" s="1">
        <v>0.82</v>
      </c>
      <c r="D166" s="1">
        <v>1790.26</v>
      </c>
      <c r="E166" s="1">
        <v>44247429120</v>
      </c>
      <c r="F166" s="1">
        <v>66.1</v>
      </c>
      <c r="H166" s="1">
        <v>87.8</v>
      </c>
      <c r="J166" s="1">
        <v>80.8</v>
      </c>
      <c r="L166" s="1">
        <v>68.2</v>
      </c>
    </row>
    <row r="167" spans="1:12">
      <c r="A167" s="1" t="str">
        <f>"880557"</f>
        <v>880557</v>
      </c>
      <c r="B167" s="1" t="s">
        <v>178</v>
      </c>
      <c r="C167" s="1">
        <v>0.82</v>
      </c>
      <c r="D167" s="1">
        <v>3219.12</v>
      </c>
      <c r="E167" s="1">
        <v>11496955904</v>
      </c>
      <c r="F167" s="1">
        <v>6.5</v>
      </c>
      <c r="H167" s="1">
        <v>5.1</v>
      </c>
      <c r="J167" s="1">
        <v>12.5</v>
      </c>
      <c r="L167" s="1">
        <v>25.4</v>
      </c>
    </row>
    <row r="168" spans="1:12">
      <c r="A168" s="1" t="str">
        <f>"880957"</f>
        <v>880957</v>
      </c>
      <c r="B168" s="1" t="s">
        <v>179</v>
      </c>
      <c r="C168" s="1">
        <v>0.81</v>
      </c>
      <c r="D168" s="1">
        <v>2498.88</v>
      </c>
      <c r="E168" s="1">
        <v>221210722304</v>
      </c>
      <c r="F168" s="1">
        <v>52.8</v>
      </c>
      <c r="H168" s="1">
        <v>61.9</v>
      </c>
      <c r="J168" s="1">
        <v>53.3</v>
      </c>
      <c r="L168" s="1">
        <v>56.8</v>
      </c>
    </row>
    <row r="169" spans="1:12">
      <c r="A169" s="1" t="str">
        <f>"880961"</f>
        <v>880961</v>
      </c>
      <c r="B169" s="1" t="s">
        <v>180</v>
      </c>
      <c r="C169" s="1">
        <v>0.8</v>
      </c>
      <c r="D169" s="1">
        <v>2683.16</v>
      </c>
      <c r="E169" s="1">
        <v>234417618944</v>
      </c>
      <c r="F169" s="1">
        <v>54.9</v>
      </c>
      <c r="H169" s="1">
        <v>65.4</v>
      </c>
      <c r="J169" s="1">
        <v>51</v>
      </c>
      <c r="L169" s="1">
        <v>68</v>
      </c>
    </row>
    <row r="170" spans="1:12">
      <c r="A170" s="1" t="str">
        <f>"880633"</f>
        <v>880633</v>
      </c>
      <c r="B170" s="1" t="s">
        <v>181</v>
      </c>
      <c r="C170" s="1">
        <v>0.79</v>
      </c>
      <c r="D170" s="1">
        <v>2025.68</v>
      </c>
      <c r="E170" s="1">
        <v>62724337664</v>
      </c>
      <c r="F170" s="1">
        <v>57</v>
      </c>
      <c r="H170" s="1">
        <v>71.2</v>
      </c>
      <c r="J170" s="1">
        <v>31.7</v>
      </c>
      <c r="L170" s="1">
        <v>64.3</v>
      </c>
    </row>
    <row r="171" spans="1:12">
      <c r="A171" s="1" t="str">
        <f>"880524"</f>
        <v>880524</v>
      </c>
      <c r="B171" s="1" t="s">
        <v>182</v>
      </c>
      <c r="C171" s="1">
        <v>0.79</v>
      </c>
      <c r="D171" s="1">
        <v>1743.09</v>
      </c>
      <c r="E171" s="1">
        <v>127629705216</v>
      </c>
      <c r="F171" s="1">
        <v>39</v>
      </c>
      <c r="H171" s="1">
        <v>29.4</v>
      </c>
      <c r="J171" s="1">
        <v>30</v>
      </c>
      <c r="L171" s="1">
        <v>32.6</v>
      </c>
    </row>
    <row r="172" spans="1:12">
      <c r="A172" s="1" t="str">
        <f>"880606"</f>
        <v>880606</v>
      </c>
      <c r="B172" s="1" t="s">
        <v>183</v>
      </c>
      <c r="C172" s="1">
        <v>0.77</v>
      </c>
      <c r="D172" s="1">
        <v>1097.32</v>
      </c>
      <c r="E172" s="1">
        <v>13890917376</v>
      </c>
      <c r="F172" s="1">
        <v>10.9</v>
      </c>
      <c r="H172" s="1">
        <v>21.7</v>
      </c>
      <c r="J172" s="1">
        <v>19.8</v>
      </c>
      <c r="L172" s="1">
        <v>26.8</v>
      </c>
    </row>
    <row r="173" spans="1:12">
      <c r="A173" s="1" t="str">
        <f>"880546"</f>
        <v>880546</v>
      </c>
      <c r="B173" s="1" t="s">
        <v>184</v>
      </c>
      <c r="C173" s="1">
        <v>0.73</v>
      </c>
      <c r="D173" s="1">
        <v>3913.04</v>
      </c>
      <c r="E173" s="1">
        <v>157002973184</v>
      </c>
      <c r="F173" s="1">
        <v>79.4</v>
      </c>
      <c r="H173" s="1">
        <v>93.6</v>
      </c>
      <c r="I173" s="1">
        <v>93.6</v>
      </c>
      <c r="J173" s="1">
        <v>9.5</v>
      </c>
      <c r="L173" s="1">
        <v>27.7</v>
      </c>
    </row>
    <row r="174" spans="1:12">
      <c r="A174" s="1" t="str">
        <f>"880936"</f>
        <v>880936</v>
      </c>
      <c r="B174" s="1" t="s">
        <v>185</v>
      </c>
      <c r="C174" s="1">
        <v>0.72</v>
      </c>
      <c r="D174" s="1">
        <v>2006.22</v>
      </c>
      <c r="E174" s="1">
        <v>5298841088</v>
      </c>
      <c r="F174" s="1">
        <v>9.3</v>
      </c>
      <c r="H174" s="1">
        <v>3.7</v>
      </c>
      <c r="J174" s="1">
        <v>31.2</v>
      </c>
      <c r="L174" s="1">
        <v>11.6</v>
      </c>
    </row>
    <row r="175" spans="1:12">
      <c r="A175" s="1" t="str">
        <f>"880623"</f>
        <v>880623</v>
      </c>
      <c r="B175" s="1" t="s">
        <v>186</v>
      </c>
      <c r="C175" s="1">
        <v>0.7</v>
      </c>
      <c r="D175" s="1">
        <v>1307.03</v>
      </c>
      <c r="E175" s="1">
        <v>18072276992</v>
      </c>
      <c r="F175" s="1">
        <v>5.8</v>
      </c>
      <c r="H175" s="1">
        <v>6.5</v>
      </c>
      <c r="J175" s="1">
        <v>18.1</v>
      </c>
      <c r="L175" s="1">
        <v>26.5</v>
      </c>
    </row>
    <row r="176" spans="1:12">
      <c r="A176" s="1" t="str">
        <f>"880572"</f>
        <v>880572</v>
      </c>
      <c r="B176" s="1" t="s">
        <v>187</v>
      </c>
      <c r="C176" s="1">
        <v>0.69</v>
      </c>
      <c r="D176" s="1">
        <v>1439.09</v>
      </c>
      <c r="E176" s="1">
        <v>75109105664</v>
      </c>
      <c r="F176" s="1">
        <v>24</v>
      </c>
      <c r="H176" s="1">
        <v>18.9</v>
      </c>
      <c r="J176" s="1">
        <v>21.4</v>
      </c>
      <c r="L176" s="1">
        <v>7.4</v>
      </c>
    </row>
    <row r="177" spans="1:12">
      <c r="A177" s="1" t="str">
        <f>"880688"</f>
        <v>880688</v>
      </c>
      <c r="B177" s="1" t="s">
        <v>188</v>
      </c>
      <c r="C177" s="1">
        <v>0.69</v>
      </c>
      <c r="D177" s="1">
        <v>1749.38</v>
      </c>
      <c r="E177" s="1">
        <v>111945261056</v>
      </c>
      <c r="F177" s="1">
        <v>49.7</v>
      </c>
      <c r="H177" s="1">
        <v>65.6</v>
      </c>
      <c r="J177" s="1">
        <v>43.1</v>
      </c>
      <c r="L177" s="1">
        <v>58</v>
      </c>
    </row>
    <row r="178" spans="1:12">
      <c r="A178" s="1" t="str">
        <f>"880597"</f>
        <v>880597</v>
      </c>
      <c r="B178" s="1" t="s">
        <v>189</v>
      </c>
      <c r="C178" s="1">
        <v>0.69</v>
      </c>
      <c r="D178" s="1">
        <v>1712.21</v>
      </c>
      <c r="E178" s="1">
        <v>48985964544</v>
      </c>
      <c r="F178" s="1">
        <v>18.6</v>
      </c>
      <c r="H178" s="1">
        <v>28.9</v>
      </c>
      <c r="J178" s="1">
        <v>20.7</v>
      </c>
      <c r="L178" s="1">
        <v>23</v>
      </c>
    </row>
    <row r="179" spans="1:12">
      <c r="A179" s="1" t="str">
        <f>"880941"</f>
        <v>880941</v>
      </c>
      <c r="B179" s="1" t="s">
        <v>190</v>
      </c>
      <c r="C179" s="1">
        <v>0.67</v>
      </c>
      <c r="D179" s="1">
        <v>1547.92</v>
      </c>
      <c r="E179" s="1">
        <v>99709100032</v>
      </c>
      <c r="F179" s="1">
        <v>32.4</v>
      </c>
      <c r="H179" s="1">
        <v>34.1</v>
      </c>
      <c r="J179" s="1">
        <v>26.8</v>
      </c>
      <c r="L179" s="1">
        <v>20</v>
      </c>
    </row>
    <row r="180" spans="1:12">
      <c r="A180" s="1" t="str">
        <f>"880953"</f>
        <v>880953</v>
      </c>
      <c r="B180" s="1" t="s">
        <v>191</v>
      </c>
      <c r="C180" s="1">
        <v>0.66</v>
      </c>
      <c r="D180" s="1">
        <v>845.16</v>
      </c>
      <c r="E180" s="1">
        <v>7009632768</v>
      </c>
      <c r="F180" s="1">
        <v>55.3</v>
      </c>
      <c r="H180" s="1">
        <v>20.5</v>
      </c>
      <c r="J180" s="1">
        <v>68.5</v>
      </c>
      <c r="L180" s="1">
        <v>21.6</v>
      </c>
    </row>
    <row r="181" spans="1:12">
      <c r="A181" s="1" t="str">
        <f>"880596"</f>
        <v>880596</v>
      </c>
      <c r="B181" s="1" t="s">
        <v>192</v>
      </c>
      <c r="C181" s="1">
        <v>0.63</v>
      </c>
      <c r="D181" s="1">
        <v>1931.39</v>
      </c>
      <c r="E181" s="1">
        <v>36008882176</v>
      </c>
      <c r="F181" s="1">
        <v>43.2</v>
      </c>
      <c r="H181" s="1">
        <v>41.8</v>
      </c>
      <c r="J181" s="1">
        <v>42.4</v>
      </c>
      <c r="L181" s="1">
        <v>25.8</v>
      </c>
    </row>
    <row r="182" spans="1:12">
      <c r="A182" s="1" t="str">
        <f>"880591"</f>
        <v>880591</v>
      </c>
      <c r="B182" s="1" t="s">
        <v>193</v>
      </c>
      <c r="C182" s="1">
        <v>0.62</v>
      </c>
      <c r="D182" s="1">
        <v>2889.73</v>
      </c>
      <c r="E182" s="1">
        <v>38590373888</v>
      </c>
      <c r="F182" s="1">
        <v>55.1</v>
      </c>
      <c r="H182" s="1">
        <v>38.3</v>
      </c>
      <c r="J182" s="1">
        <v>41.7</v>
      </c>
      <c r="L182" s="1">
        <v>39.8</v>
      </c>
    </row>
    <row r="183" spans="1:12">
      <c r="A183" s="1" t="str">
        <f>"880522"</f>
        <v>880522</v>
      </c>
      <c r="B183" s="1" t="s">
        <v>194</v>
      </c>
      <c r="C183" s="1">
        <v>0.61</v>
      </c>
      <c r="D183" s="1">
        <v>2019.11</v>
      </c>
      <c r="E183" s="1">
        <v>241584324608</v>
      </c>
      <c r="F183" s="1">
        <v>52.3</v>
      </c>
      <c r="H183" s="1">
        <v>72.4</v>
      </c>
      <c r="J183" s="1">
        <v>27.5</v>
      </c>
      <c r="L183" s="1">
        <v>50.8</v>
      </c>
    </row>
    <row r="184" spans="1:12">
      <c r="A184" s="1" t="str">
        <f>"880541"</f>
        <v>880541</v>
      </c>
      <c r="B184" s="1" t="s">
        <v>195</v>
      </c>
      <c r="C184" s="1">
        <v>0.58</v>
      </c>
      <c r="D184" s="1">
        <v>1885.58</v>
      </c>
      <c r="E184" s="1">
        <v>56218701824</v>
      </c>
      <c r="F184" s="1">
        <v>60.9</v>
      </c>
      <c r="H184" s="1">
        <v>74.5</v>
      </c>
      <c r="J184" s="1">
        <v>25.6</v>
      </c>
      <c r="L184" s="1">
        <v>79.2</v>
      </c>
    </row>
    <row r="185" spans="1:12">
      <c r="A185" s="1" t="str">
        <f>"880664"</f>
        <v>880664</v>
      </c>
      <c r="B185" s="1" t="s">
        <v>196</v>
      </c>
      <c r="C185" s="1">
        <v>0.58</v>
      </c>
      <c r="D185" s="1">
        <v>1799.87</v>
      </c>
      <c r="E185" s="1">
        <v>108401508352</v>
      </c>
      <c r="F185" s="1">
        <v>55.8</v>
      </c>
      <c r="H185" s="1">
        <v>68.4</v>
      </c>
      <c r="J185" s="1">
        <v>38.9</v>
      </c>
      <c r="L185" s="1">
        <v>48.4</v>
      </c>
    </row>
    <row r="186" spans="1:12">
      <c r="A186" s="1" t="str">
        <f>"880577"</f>
        <v>880577</v>
      </c>
      <c r="B186" s="1" t="s">
        <v>197</v>
      </c>
      <c r="C186" s="1">
        <v>0.58</v>
      </c>
      <c r="D186" s="1">
        <v>6104.41</v>
      </c>
      <c r="E186" s="1">
        <v>60033429504</v>
      </c>
      <c r="F186" s="1">
        <v>47.8</v>
      </c>
      <c r="H186" s="1">
        <v>52.3</v>
      </c>
      <c r="J186" s="1">
        <v>25.8</v>
      </c>
      <c r="L186" s="1">
        <v>49.4</v>
      </c>
    </row>
    <row r="187" spans="1:12">
      <c r="A187" s="1" t="str">
        <f>"880567"</f>
        <v>880567</v>
      </c>
      <c r="B187" s="1" t="s">
        <v>198</v>
      </c>
      <c r="C187" s="1">
        <v>0.56</v>
      </c>
      <c r="D187" s="1">
        <v>4802.52</v>
      </c>
      <c r="E187" s="1">
        <v>25866516480</v>
      </c>
      <c r="F187" s="1">
        <v>77.8</v>
      </c>
      <c r="H187" s="1">
        <v>26.6</v>
      </c>
      <c r="J187" s="1">
        <v>38.2</v>
      </c>
      <c r="L187" s="1">
        <v>22.3</v>
      </c>
    </row>
    <row r="188" spans="1:12">
      <c r="A188" s="1" t="str">
        <f>"880652"</f>
        <v>880652</v>
      </c>
      <c r="B188" s="1" t="s">
        <v>199</v>
      </c>
      <c r="C188" s="1">
        <v>0.56</v>
      </c>
      <c r="D188" s="1">
        <v>1216.3</v>
      </c>
      <c r="E188" s="1">
        <v>45685805056</v>
      </c>
      <c r="F188" s="1">
        <v>4.6</v>
      </c>
      <c r="H188" s="1">
        <v>10.9</v>
      </c>
      <c r="J188" s="1">
        <v>13.7</v>
      </c>
      <c r="L188" s="1">
        <v>20.2</v>
      </c>
    </row>
    <row r="189" spans="1:12">
      <c r="A189" s="1" t="str">
        <f>"880675"</f>
        <v>880675</v>
      </c>
      <c r="B189" s="1" t="s">
        <v>200</v>
      </c>
      <c r="C189" s="1">
        <v>0.5</v>
      </c>
      <c r="D189" s="1">
        <v>2138.32</v>
      </c>
      <c r="E189" s="1">
        <v>54606663680</v>
      </c>
      <c r="F189" s="1">
        <v>28.2</v>
      </c>
      <c r="H189" s="1">
        <v>56</v>
      </c>
      <c r="J189" s="1">
        <v>9</v>
      </c>
      <c r="L189" s="1">
        <v>62.4</v>
      </c>
    </row>
    <row r="190" spans="1:12">
      <c r="A190" s="1" t="str">
        <f>"880974"</f>
        <v>880974</v>
      </c>
      <c r="B190" s="1" t="s">
        <v>201</v>
      </c>
      <c r="C190" s="1">
        <v>0.5</v>
      </c>
      <c r="D190" s="1">
        <v>2429.95</v>
      </c>
      <c r="E190" s="1">
        <v>7349165568</v>
      </c>
      <c r="F190" s="1">
        <v>54.6</v>
      </c>
      <c r="H190" s="1">
        <v>55.8</v>
      </c>
      <c r="J190" s="1">
        <v>84.1</v>
      </c>
      <c r="L190" s="1">
        <v>61</v>
      </c>
    </row>
    <row r="191" spans="1:12">
      <c r="A191" s="1" t="str">
        <f>"880563"</f>
        <v>880563</v>
      </c>
      <c r="B191" s="1" t="s">
        <v>202</v>
      </c>
      <c r="C191" s="1">
        <v>0.5</v>
      </c>
      <c r="D191" s="1">
        <v>3558.85</v>
      </c>
      <c r="E191" s="1">
        <v>13878756352</v>
      </c>
      <c r="F191" s="1">
        <v>32.2</v>
      </c>
      <c r="H191" s="1">
        <v>35.9</v>
      </c>
      <c r="J191" s="1">
        <v>46.1</v>
      </c>
      <c r="L191" s="1">
        <v>39.1</v>
      </c>
    </row>
    <row r="192" spans="1:12">
      <c r="A192" s="1" t="str">
        <f>"880703"</f>
        <v>880703</v>
      </c>
      <c r="B192" s="1" t="s">
        <v>203</v>
      </c>
      <c r="C192" s="1">
        <v>0.48</v>
      </c>
      <c r="D192" s="1">
        <v>2451.03</v>
      </c>
      <c r="E192" s="1">
        <v>250559987712</v>
      </c>
      <c r="F192" s="1">
        <v>46.9</v>
      </c>
      <c r="H192" s="1">
        <v>70.3</v>
      </c>
      <c r="J192" s="1">
        <v>22.6</v>
      </c>
      <c r="L192" s="1">
        <v>65.9</v>
      </c>
    </row>
    <row r="193" spans="1:12">
      <c r="A193" s="1" t="str">
        <f>"880637"</f>
        <v>880637</v>
      </c>
      <c r="B193" s="1" t="s">
        <v>204</v>
      </c>
      <c r="C193" s="1">
        <v>0.44</v>
      </c>
      <c r="D193" s="1">
        <v>1415.96</v>
      </c>
      <c r="E193" s="1">
        <v>9566047232</v>
      </c>
      <c r="F193" s="1">
        <v>27.3</v>
      </c>
      <c r="H193" s="1">
        <v>69.8</v>
      </c>
      <c r="J193" s="1">
        <v>17.2</v>
      </c>
      <c r="L193" s="1">
        <v>62</v>
      </c>
    </row>
    <row r="194" spans="1:12">
      <c r="A194" s="1" t="str">
        <f>"880662"</f>
        <v>880662</v>
      </c>
      <c r="B194" s="1" t="s">
        <v>205</v>
      </c>
      <c r="C194" s="1">
        <v>0.44</v>
      </c>
      <c r="D194" s="1">
        <v>1603.07</v>
      </c>
      <c r="E194" s="1">
        <v>21666101248</v>
      </c>
      <c r="F194" s="1">
        <v>34.1</v>
      </c>
      <c r="H194" s="1">
        <v>45</v>
      </c>
      <c r="J194" s="1">
        <v>15.3</v>
      </c>
      <c r="L194" s="1">
        <v>35.8</v>
      </c>
    </row>
    <row r="195" spans="1:12">
      <c r="A195" s="1" t="str">
        <f>"880740"</f>
        <v>880740</v>
      </c>
      <c r="B195" s="1" t="s">
        <v>206</v>
      </c>
      <c r="C195" s="1">
        <v>0.43</v>
      </c>
      <c r="D195" s="1">
        <v>1658.53</v>
      </c>
      <c r="E195" s="1">
        <v>24068317184</v>
      </c>
      <c r="F195" s="1">
        <v>74</v>
      </c>
      <c r="H195" s="1">
        <v>79.9</v>
      </c>
      <c r="J195" s="1">
        <v>88.5</v>
      </c>
      <c r="L195" s="1">
        <v>58.2</v>
      </c>
    </row>
    <row r="196" spans="1:12">
      <c r="A196" s="1" t="str">
        <f>"880515"</f>
        <v>880515</v>
      </c>
      <c r="B196" s="1" t="s">
        <v>207</v>
      </c>
      <c r="C196" s="1">
        <v>0.42</v>
      </c>
      <c r="D196" s="1">
        <v>2828.61</v>
      </c>
      <c r="E196" s="1">
        <v>181086568448</v>
      </c>
      <c r="F196" s="1">
        <v>40.1</v>
      </c>
      <c r="H196" s="1">
        <v>11.2</v>
      </c>
      <c r="J196" s="1">
        <v>18.4</v>
      </c>
      <c r="L196" s="1">
        <v>22.1</v>
      </c>
    </row>
    <row r="197" spans="1:12">
      <c r="A197" s="1" t="str">
        <f>"880726"</f>
        <v>880726</v>
      </c>
      <c r="B197" s="1" t="s">
        <v>208</v>
      </c>
      <c r="C197" s="1">
        <v>0.41</v>
      </c>
      <c r="D197" s="1">
        <v>1441.61</v>
      </c>
      <c r="E197" s="1">
        <v>70843277312</v>
      </c>
      <c r="F197" s="1">
        <v>65.4</v>
      </c>
      <c r="H197" s="1">
        <v>81</v>
      </c>
      <c r="J197" s="1">
        <v>62</v>
      </c>
      <c r="L197" s="1">
        <v>57.8</v>
      </c>
    </row>
    <row r="198" spans="1:12">
      <c r="A198" s="1" t="str">
        <f>"880634"</f>
        <v>880634</v>
      </c>
      <c r="B198" s="1" t="s">
        <v>209</v>
      </c>
      <c r="C198" s="1">
        <v>0.4</v>
      </c>
      <c r="D198" s="1">
        <v>1175.65</v>
      </c>
      <c r="E198" s="1">
        <v>24146411520</v>
      </c>
      <c r="F198" s="1">
        <v>81.3</v>
      </c>
      <c r="H198" s="1">
        <v>49</v>
      </c>
      <c r="J198" s="1">
        <v>55.9</v>
      </c>
      <c r="L198" s="1">
        <v>18.6</v>
      </c>
    </row>
    <row r="199" spans="1:12">
      <c r="A199" s="1" t="str">
        <f>"880580"</f>
        <v>880580</v>
      </c>
      <c r="B199" s="1" t="s">
        <v>210</v>
      </c>
      <c r="C199" s="1">
        <v>0.4</v>
      </c>
      <c r="D199" s="1">
        <v>4703.88</v>
      </c>
      <c r="E199" s="1">
        <v>67209158656</v>
      </c>
      <c r="F199" s="1">
        <v>26.1</v>
      </c>
      <c r="H199" s="1">
        <v>43.6</v>
      </c>
      <c r="J199" s="1">
        <v>23.3</v>
      </c>
      <c r="L199" s="1">
        <v>44.9</v>
      </c>
    </row>
    <row r="200" spans="1:12">
      <c r="A200" s="1" t="str">
        <f>"880615"</f>
        <v>880615</v>
      </c>
      <c r="B200" s="1" t="s">
        <v>211</v>
      </c>
      <c r="C200" s="1">
        <v>0.39</v>
      </c>
      <c r="D200" s="1">
        <v>1360.95</v>
      </c>
      <c r="E200" s="1">
        <v>15833185280</v>
      </c>
      <c r="F200" s="1">
        <v>39.2</v>
      </c>
      <c r="H200" s="1">
        <v>19.3</v>
      </c>
      <c r="J200" s="1">
        <v>27</v>
      </c>
      <c r="L200" s="1">
        <v>21.9</v>
      </c>
    </row>
    <row r="201" spans="1:12">
      <c r="A201" s="1" t="str">
        <f>"880949"</f>
        <v>880949</v>
      </c>
      <c r="B201" s="1" t="s">
        <v>212</v>
      </c>
      <c r="C201" s="1">
        <v>0.39</v>
      </c>
      <c r="D201" s="1">
        <v>1243.23</v>
      </c>
      <c r="E201" s="1">
        <v>160038748160</v>
      </c>
      <c r="F201" s="1">
        <v>27.8</v>
      </c>
      <c r="H201" s="1">
        <v>39.9</v>
      </c>
      <c r="J201" s="1">
        <v>32.4</v>
      </c>
      <c r="L201" s="1">
        <v>44.7</v>
      </c>
    </row>
    <row r="202" spans="1:12">
      <c r="A202" s="1" t="str">
        <f>"880738"</f>
        <v>880738</v>
      </c>
      <c r="B202" s="1" t="s">
        <v>213</v>
      </c>
      <c r="C202" s="1">
        <v>0.36</v>
      </c>
      <c r="D202" s="1">
        <v>1972.41</v>
      </c>
      <c r="E202" s="1">
        <v>80781336576</v>
      </c>
      <c r="F202" s="1">
        <v>41.1</v>
      </c>
      <c r="H202" s="1">
        <v>44.8</v>
      </c>
      <c r="J202" s="1">
        <v>37</v>
      </c>
      <c r="L202" s="1">
        <v>51.9</v>
      </c>
    </row>
    <row r="203" spans="1:12">
      <c r="A203" s="1" t="str">
        <f>"880920"</f>
        <v>880920</v>
      </c>
      <c r="B203" s="1" t="s">
        <v>214</v>
      </c>
      <c r="C203" s="1">
        <v>0.36</v>
      </c>
      <c r="D203" s="1">
        <v>1182.43</v>
      </c>
      <c r="E203" s="1">
        <v>11203211264</v>
      </c>
      <c r="F203" s="1">
        <v>10.5</v>
      </c>
      <c r="H203" s="1">
        <v>17</v>
      </c>
      <c r="J203" s="1">
        <v>10.4</v>
      </c>
      <c r="L203" s="1">
        <v>22.6</v>
      </c>
    </row>
    <row r="204" spans="1:12">
      <c r="A204" s="1" t="str">
        <f>"880960"</f>
        <v>880960</v>
      </c>
      <c r="B204" s="1" t="s">
        <v>215</v>
      </c>
      <c r="C204" s="1">
        <v>0.35</v>
      </c>
      <c r="D204" s="1">
        <v>1299.64</v>
      </c>
      <c r="E204" s="1">
        <v>12097484800</v>
      </c>
      <c r="F204" s="1">
        <v>2.3</v>
      </c>
      <c r="H204" s="1">
        <v>3.9</v>
      </c>
      <c r="J204" s="1">
        <v>10.2</v>
      </c>
      <c r="L204" s="1">
        <v>15.1</v>
      </c>
    </row>
    <row r="205" spans="1:12">
      <c r="A205" s="1" t="str">
        <f>"880758"</f>
        <v>880758</v>
      </c>
      <c r="B205" s="1" t="s">
        <v>216</v>
      </c>
      <c r="C205" s="1">
        <v>0.33</v>
      </c>
      <c r="D205" s="1">
        <v>1168.97</v>
      </c>
      <c r="E205" s="1">
        <v>105618628608</v>
      </c>
      <c r="F205" s="1">
        <v>72.4</v>
      </c>
      <c r="H205" s="1">
        <v>85.2</v>
      </c>
      <c r="J205" s="1">
        <v>68.7</v>
      </c>
      <c r="L205" s="1">
        <v>60.1</v>
      </c>
    </row>
    <row r="206" spans="1:12">
      <c r="A206" s="1" t="str">
        <f>"880933"</f>
        <v>880933</v>
      </c>
      <c r="B206" s="1" t="s">
        <v>217</v>
      </c>
      <c r="C206" s="1">
        <v>0.27</v>
      </c>
      <c r="D206" s="1">
        <v>1997.41</v>
      </c>
      <c r="E206" s="1">
        <v>76326969344</v>
      </c>
      <c r="F206" s="1">
        <v>25.7</v>
      </c>
      <c r="H206" s="1">
        <v>37.3</v>
      </c>
      <c r="J206" s="1">
        <v>20.2</v>
      </c>
      <c r="L206" s="1">
        <v>33.7</v>
      </c>
    </row>
    <row r="207" spans="1:12">
      <c r="A207" s="1" t="str">
        <f>"880908"</f>
        <v>880908</v>
      </c>
      <c r="B207" s="1" t="s">
        <v>218</v>
      </c>
      <c r="C207" s="1">
        <v>0.13</v>
      </c>
      <c r="D207" s="1">
        <v>1084.63</v>
      </c>
      <c r="E207" s="1">
        <v>40491524096</v>
      </c>
      <c r="F207" s="1">
        <v>28.7</v>
      </c>
      <c r="H207" s="1">
        <v>37.1</v>
      </c>
      <c r="J207" s="1">
        <v>39.6</v>
      </c>
      <c r="L207" s="1">
        <v>27.5</v>
      </c>
    </row>
    <row r="208" spans="1:12">
      <c r="A208" s="1" t="str">
        <f>"880602"</f>
        <v>880602</v>
      </c>
      <c r="B208" s="1" t="s">
        <v>219</v>
      </c>
      <c r="C208" s="1">
        <v>0.13</v>
      </c>
      <c r="D208" s="1">
        <v>1367.47</v>
      </c>
      <c r="E208" s="1">
        <v>18776111104</v>
      </c>
      <c r="F208" s="1">
        <v>42.5</v>
      </c>
      <c r="H208" s="1">
        <v>16.1</v>
      </c>
      <c r="J208" s="1">
        <v>7.4</v>
      </c>
      <c r="L208" s="1">
        <v>3.9</v>
      </c>
    </row>
    <row r="209" spans="1:12">
      <c r="A209" s="1" t="str">
        <f>"880729"</f>
        <v>880729</v>
      </c>
      <c r="B209" s="1" t="s">
        <v>220</v>
      </c>
      <c r="C209" s="1">
        <v>0.13</v>
      </c>
      <c r="D209" s="1">
        <v>906.77</v>
      </c>
      <c r="E209" s="1">
        <v>15257307136</v>
      </c>
      <c r="F209" s="1">
        <v>18.9</v>
      </c>
      <c r="H209" s="1">
        <v>29.2</v>
      </c>
      <c r="J209" s="1">
        <v>9.7</v>
      </c>
      <c r="L209" s="1">
        <v>14.9</v>
      </c>
    </row>
    <row r="210" spans="1:12">
      <c r="A210" s="1" t="str">
        <f>"880564"</f>
        <v>880564</v>
      </c>
      <c r="B210" s="1" t="s">
        <v>221</v>
      </c>
      <c r="C210" s="1">
        <v>0.12</v>
      </c>
      <c r="D210" s="1">
        <v>7510.22</v>
      </c>
      <c r="E210" s="1">
        <v>23262754816</v>
      </c>
      <c r="F210" s="1">
        <v>8.8</v>
      </c>
      <c r="H210" s="1">
        <v>7.4</v>
      </c>
      <c r="J210" s="1">
        <v>52.4</v>
      </c>
      <c r="L210" s="1">
        <v>5.1</v>
      </c>
    </row>
    <row r="211" spans="1:12">
      <c r="A211" s="1" t="str">
        <f>"880713"</f>
        <v>880713</v>
      </c>
      <c r="B211" s="1" t="s">
        <v>222</v>
      </c>
      <c r="C211" s="1">
        <v>0.12</v>
      </c>
      <c r="D211" s="1">
        <v>2253.64</v>
      </c>
      <c r="E211" s="1">
        <v>12324688896</v>
      </c>
      <c r="F211" s="1">
        <v>15.1</v>
      </c>
      <c r="H211" s="1">
        <v>29.6</v>
      </c>
      <c r="J211" s="1">
        <v>17.9</v>
      </c>
      <c r="L211" s="1">
        <v>37.7</v>
      </c>
    </row>
    <row r="212" spans="1:12">
      <c r="A212" s="1" t="str">
        <f>"880791"</f>
        <v>880791</v>
      </c>
      <c r="B212" s="1" t="s">
        <v>223</v>
      </c>
      <c r="C212" s="1">
        <v>0.08</v>
      </c>
      <c r="D212" s="1">
        <v>1220.11</v>
      </c>
      <c r="E212" s="1">
        <v>47729717248</v>
      </c>
      <c r="F212" s="1">
        <v>30.1</v>
      </c>
      <c r="H212" s="1">
        <v>33.4</v>
      </c>
      <c r="J212" s="1">
        <v>37.5</v>
      </c>
      <c r="L212" s="1">
        <v>5.5</v>
      </c>
    </row>
    <row r="213" spans="1:12">
      <c r="A213" s="1" t="str">
        <f>"880651"</f>
        <v>880651</v>
      </c>
      <c r="B213" s="1" t="s">
        <v>224</v>
      </c>
      <c r="C213" s="1">
        <v>0.05</v>
      </c>
      <c r="D213" s="1">
        <v>1420.8</v>
      </c>
      <c r="E213" s="1">
        <v>52969463808</v>
      </c>
      <c r="F213" s="1">
        <v>43.9</v>
      </c>
      <c r="H213" s="1">
        <v>26.1</v>
      </c>
      <c r="J213" s="1">
        <v>35.4</v>
      </c>
      <c r="L213" s="1">
        <v>10.9</v>
      </c>
    </row>
    <row r="214" spans="1:12">
      <c r="A214" s="1" t="str">
        <f>"880942"</f>
        <v>880942</v>
      </c>
      <c r="B214" s="1" t="s">
        <v>225</v>
      </c>
      <c r="C214" s="1">
        <v>0.05</v>
      </c>
      <c r="D214" s="1">
        <v>1300.81</v>
      </c>
      <c r="E214" s="1">
        <v>186380369920</v>
      </c>
      <c r="F214" s="1">
        <v>51.1</v>
      </c>
      <c r="H214" s="1">
        <v>62.6</v>
      </c>
      <c r="J214" s="1">
        <v>57.3</v>
      </c>
      <c r="L214" s="1">
        <v>45.2</v>
      </c>
    </row>
    <row r="215" spans="1:12">
      <c r="A215" s="1" t="str">
        <f>"880607"</f>
        <v>880607</v>
      </c>
      <c r="B215" s="1" t="s">
        <v>226</v>
      </c>
      <c r="C215" s="1">
        <v>0.04</v>
      </c>
      <c r="D215" s="1">
        <v>1923.04</v>
      </c>
      <c r="E215" s="1">
        <v>322679898112</v>
      </c>
      <c r="F215" s="1">
        <v>52.5</v>
      </c>
      <c r="H215" s="1">
        <v>68.9</v>
      </c>
      <c r="J215" s="1">
        <v>70.8</v>
      </c>
      <c r="L215" s="1">
        <v>69.9</v>
      </c>
    </row>
    <row r="216" spans="1:12">
      <c r="A216" s="1" t="str">
        <f>"880681"</f>
        <v>880681</v>
      </c>
      <c r="B216" s="1" t="s">
        <v>227</v>
      </c>
      <c r="C216" s="1">
        <v>0.03</v>
      </c>
      <c r="D216" s="1">
        <v>1269.98</v>
      </c>
      <c r="E216" s="1">
        <v>12230289408</v>
      </c>
      <c r="F216" s="1">
        <v>6.3</v>
      </c>
      <c r="H216" s="1">
        <v>15.4</v>
      </c>
      <c r="J216" s="1">
        <v>3.7</v>
      </c>
      <c r="L216" s="1">
        <v>14.4</v>
      </c>
    </row>
    <row r="217" spans="1:12">
      <c r="A217" s="1" t="str">
        <f>"880674"</f>
        <v>880674</v>
      </c>
      <c r="B217" s="1" t="s">
        <v>228</v>
      </c>
      <c r="C217" s="1">
        <v>0.01</v>
      </c>
      <c r="D217" s="1">
        <v>1973.69</v>
      </c>
      <c r="E217" s="1">
        <v>137355509760</v>
      </c>
      <c r="F217" s="1">
        <v>69.3</v>
      </c>
      <c r="H217" s="1">
        <v>80.1</v>
      </c>
      <c r="J217" s="1">
        <v>72.9</v>
      </c>
      <c r="L217" s="1">
        <v>78.3</v>
      </c>
    </row>
    <row r="218" spans="1:12">
      <c r="A218" s="1" t="str">
        <f>"880912"</f>
        <v>880912</v>
      </c>
      <c r="B218" s="1" t="s">
        <v>229</v>
      </c>
      <c r="C218" s="1">
        <v>0</v>
      </c>
      <c r="D218" s="1">
        <v>1292.92</v>
      </c>
      <c r="E218" s="1">
        <v>15445167104</v>
      </c>
      <c r="F218" s="1">
        <v>42.7</v>
      </c>
      <c r="H218" s="1">
        <v>84.3</v>
      </c>
      <c r="J218" s="1">
        <v>28.2</v>
      </c>
      <c r="L218" s="1">
        <v>31.2</v>
      </c>
    </row>
    <row r="219" spans="1:12">
      <c r="A219" s="1" t="str">
        <f>"880948"</f>
        <v>880948</v>
      </c>
      <c r="B219" s="1" t="s">
        <v>230</v>
      </c>
      <c r="C219" s="1">
        <v>-0.01</v>
      </c>
      <c r="D219" s="1">
        <v>2050.37</v>
      </c>
      <c r="E219" s="1">
        <v>519661486080</v>
      </c>
      <c r="F219" s="1">
        <v>36.6</v>
      </c>
      <c r="H219" s="1">
        <v>50.7</v>
      </c>
      <c r="J219" s="1">
        <v>24.2</v>
      </c>
      <c r="L219" s="1">
        <v>36.8</v>
      </c>
    </row>
    <row r="220" spans="1:12">
      <c r="A220" s="1" t="str">
        <f>"880552"</f>
        <v>880552</v>
      </c>
      <c r="B220" s="1" t="s">
        <v>231</v>
      </c>
      <c r="C220" s="1">
        <v>-0.03</v>
      </c>
      <c r="D220" s="1">
        <v>1738.27</v>
      </c>
      <c r="E220" s="1">
        <v>146270437376</v>
      </c>
      <c r="F220" s="1">
        <v>29.4</v>
      </c>
      <c r="H220" s="1">
        <v>56.7</v>
      </c>
      <c r="J220" s="1">
        <v>24.9</v>
      </c>
      <c r="L220" s="1">
        <v>55.7</v>
      </c>
    </row>
    <row r="221" spans="1:12">
      <c r="A221" s="1" t="str">
        <f>"880733"</f>
        <v>880733</v>
      </c>
      <c r="B221" s="1" t="s">
        <v>232</v>
      </c>
      <c r="C221" s="1">
        <v>-0.04</v>
      </c>
      <c r="D221" s="1">
        <v>1964.8</v>
      </c>
      <c r="E221" s="1">
        <v>54586494976</v>
      </c>
      <c r="F221" s="1">
        <v>46.7</v>
      </c>
      <c r="H221" s="1">
        <v>74.2</v>
      </c>
      <c r="J221" s="1">
        <v>15.1</v>
      </c>
      <c r="L221" s="1">
        <v>44.5</v>
      </c>
    </row>
    <row r="222" spans="1:12">
      <c r="A222" s="1" t="str">
        <f>"880528"</f>
        <v>880528</v>
      </c>
      <c r="B222" s="1" t="s">
        <v>233</v>
      </c>
      <c r="C222" s="1">
        <v>-0.1</v>
      </c>
      <c r="D222" s="1">
        <v>1906.07</v>
      </c>
      <c r="E222" s="1">
        <v>61007020032</v>
      </c>
      <c r="F222" s="1">
        <v>62.3</v>
      </c>
      <c r="H222" s="1">
        <v>82</v>
      </c>
      <c r="J222" s="1">
        <v>5.3</v>
      </c>
      <c r="L222" s="1">
        <v>32.4</v>
      </c>
    </row>
    <row r="223" spans="1:12">
      <c r="A223" s="1" t="str">
        <f>"880683"</f>
        <v>880683</v>
      </c>
      <c r="B223" s="1" t="s">
        <v>234</v>
      </c>
      <c r="C223" s="1">
        <v>-0.14</v>
      </c>
      <c r="D223" s="1">
        <v>1505.97</v>
      </c>
      <c r="E223" s="1">
        <v>27832193024</v>
      </c>
      <c r="F223" s="1">
        <v>17</v>
      </c>
      <c r="H223" s="1">
        <v>42</v>
      </c>
      <c r="J223" s="1">
        <v>13.9</v>
      </c>
      <c r="L223" s="1">
        <v>49.1</v>
      </c>
    </row>
    <row r="224" spans="1:12">
      <c r="A224" s="1" t="str">
        <f>"880978"</f>
        <v>880978</v>
      </c>
      <c r="B224" s="1" t="s">
        <v>235</v>
      </c>
      <c r="C224" s="1">
        <v>-0.21</v>
      </c>
      <c r="D224" s="1">
        <v>1794.73</v>
      </c>
      <c r="E224" s="1">
        <v>450909437952</v>
      </c>
      <c r="F224" s="1">
        <v>30.8</v>
      </c>
      <c r="H224" s="1">
        <v>47.8</v>
      </c>
      <c r="J224" s="1">
        <v>36.1</v>
      </c>
      <c r="L224" s="1">
        <v>38.4</v>
      </c>
    </row>
    <row r="225" spans="1:12">
      <c r="A225" s="1" t="str">
        <f>"880739"</f>
        <v>880739</v>
      </c>
      <c r="B225" s="1" t="s">
        <v>236</v>
      </c>
      <c r="C225" s="1">
        <v>-0.35</v>
      </c>
      <c r="D225" s="1">
        <v>1987.97</v>
      </c>
      <c r="E225" s="1">
        <v>107445288960</v>
      </c>
      <c r="F225" s="1">
        <v>29.2</v>
      </c>
      <c r="H225" s="1">
        <v>54.6</v>
      </c>
      <c r="J225" s="1">
        <v>64.1</v>
      </c>
      <c r="L225" s="1">
        <v>66.6</v>
      </c>
    </row>
    <row r="226" spans="1:12">
      <c r="A226" s="1" t="str">
        <f>"880711"</f>
        <v>880711</v>
      </c>
      <c r="B226" s="1" t="s">
        <v>237</v>
      </c>
      <c r="C226" s="1">
        <v>-0.36</v>
      </c>
      <c r="D226" s="1">
        <v>1567.97</v>
      </c>
      <c r="E226" s="1">
        <v>43723825152</v>
      </c>
      <c r="F226" s="1">
        <v>13</v>
      </c>
      <c r="H226" s="1">
        <v>21.2</v>
      </c>
      <c r="J226" s="1">
        <v>6.5</v>
      </c>
      <c r="L226" s="1">
        <v>55.9</v>
      </c>
    </row>
    <row r="227" spans="1:12">
      <c r="A227" s="1" t="str">
        <f>"880747"</f>
        <v>880747</v>
      </c>
      <c r="B227" s="1" t="s">
        <v>238</v>
      </c>
      <c r="C227" s="1">
        <v>-0.44</v>
      </c>
      <c r="D227" s="1">
        <v>1318.65</v>
      </c>
      <c r="E227" s="1">
        <v>36522098688</v>
      </c>
      <c r="F227" s="1">
        <v>11.9</v>
      </c>
      <c r="H227" s="1">
        <v>21</v>
      </c>
      <c r="J227" s="1">
        <v>5.8</v>
      </c>
      <c r="L227" s="1">
        <v>14.6</v>
      </c>
    </row>
    <row r="228" spans="1:12">
      <c r="A228" s="1" t="str">
        <f>"880592"</f>
        <v>880592</v>
      </c>
      <c r="B228" s="1" t="s">
        <v>239</v>
      </c>
      <c r="C228" s="1">
        <v>-0.45</v>
      </c>
      <c r="D228" s="1">
        <v>3495.73</v>
      </c>
      <c r="E228" s="1">
        <v>69716230144</v>
      </c>
      <c r="F228" s="1">
        <v>14.7</v>
      </c>
      <c r="H228" s="1">
        <v>22.6</v>
      </c>
      <c r="J228" s="1">
        <v>21.9</v>
      </c>
      <c r="L228" s="1">
        <v>29.1</v>
      </c>
    </row>
    <row r="229" spans="1:12">
      <c r="A229" s="1" t="str">
        <f>"880943"</f>
        <v>880943</v>
      </c>
      <c r="B229" s="1" t="s">
        <v>240</v>
      </c>
      <c r="C229" s="1">
        <v>-0.52</v>
      </c>
      <c r="D229" s="1">
        <v>2184.29</v>
      </c>
      <c r="E229" s="1">
        <v>86787596288</v>
      </c>
      <c r="F229" s="1">
        <v>69.8</v>
      </c>
      <c r="H229" s="1">
        <v>78.2</v>
      </c>
      <c r="J229" s="1">
        <v>48</v>
      </c>
      <c r="L229" s="1">
        <v>43.1</v>
      </c>
    </row>
    <row r="230" spans="1:12">
      <c r="A230" s="1" t="str">
        <f>"880644"</f>
        <v>880644</v>
      </c>
      <c r="B230" s="1" t="s">
        <v>241</v>
      </c>
      <c r="C230" s="1">
        <v>-0.62</v>
      </c>
      <c r="D230" s="1">
        <v>1372.11</v>
      </c>
      <c r="E230" s="1">
        <v>4558184960</v>
      </c>
      <c r="F230" s="1">
        <v>13.7</v>
      </c>
      <c r="H230" s="1">
        <v>14</v>
      </c>
      <c r="J230" s="1">
        <v>1.6</v>
      </c>
      <c r="L230" s="1">
        <v>20.9</v>
      </c>
    </row>
    <row r="231" spans="1:12">
      <c r="A231" s="1" t="str">
        <f>"880748"</f>
        <v>880748</v>
      </c>
      <c r="B231" s="1" t="s">
        <v>242</v>
      </c>
      <c r="C231" s="1">
        <v>-0.68</v>
      </c>
      <c r="D231" s="1">
        <v>2217.55</v>
      </c>
      <c r="E231" s="1">
        <v>152382717952</v>
      </c>
      <c r="F231" s="1">
        <v>47.1</v>
      </c>
      <c r="H231" s="1">
        <v>56.3</v>
      </c>
      <c r="J231" s="1">
        <v>50.3</v>
      </c>
      <c r="L231" s="1">
        <v>32.8</v>
      </c>
    </row>
    <row r="232" spans="1:12">
      <c r="A232" s="1" t="str">
        <f>"880946"</f>
        <v>880946</v>
      </c>
      <c r="B232" s="1" t="s">
        <v>243</v>
      </c>
      <c r="C232" s="1">
        <v>-0.76</v>
      </c>
      <c r="D232" s="1">
        <v>1182.38</v>
      </c>
      <c r="E232" s="1">
        <v>178388107264</v>
      </c>
      <c r="F232" s="1">
        <v>22.6</v>
      </c>
      <c r="H232" s="1">
        <v>36.4</v>
      </c>
      <c r="J232" s="1">
        <v>21.6</v>
      </c>
      <c r="L232" s="1">
        <v>30.3</v>
      </c>
    </row>
    <row r="233" spans="1:12">
      <c r="A233" s="1" t="str">
        <f>"880667"</f>
        <v>880667</v>
      </c>
      <c r="B233" s="1" t="s">
        <v>244</v>
      </c>
      <c r="C233" s="1">
        <v>-0.77</v>
      </c>
      <c r="D233" s="1">
        <v>1286.26</v>
      </c>
      <c r="E233" s="1">
        <v>196689035264</v>
      </c>
      <c r="F233" s="1">
        <v>28.9</v>
      </c>
      <c r="H233" s="1">
        <v>45.5</v>
      </c>
      <c r="J233" s="1">
        <v>23.5</v>
      </c>
      <c r="L233" s="1">
        <v>34.4</v>
      </c>
    </row>
    <row r="234" spans="1:12">
      <c r="A234" s="1" t="str">
        <f>"880749"</f>
        <v>880749</v>
      </c>
      <c r="B234" s="1" t="s">
        <v>245</v>
      </c>
      <c r="C234" s="1">
        <v>-0.81</v>
      </c>
      <c r="D234" s="1">
        <v>2097.19</v>
      </c>
      <c r="E234" s="1">
        <v>32828133376</v>
      </c>
      <c r="F234" s="1">
        <v>82.2</v>
      </c>
      <c r="H234" s="1">
        <v>86.4</v>
      </c>
      <c r="J234" s="1">
        <v>55.7</v>
      </c>
      <c r="L234" s="1">
        <v>16</v>
      </c>
    </row>
    <row r="235" spans="1:12">
      <c r="A235" s="1" t="str">
        <f>"880954"</f>
        <v>880954</v>
      </c>
      <c r="B235" s="1" t="s">
        <v>246</v>
      </c>
      <c r="C235" s="1">
        <v>-0.88</v>
      </c>
      <c r="D235" s="1">
        <v>1934.18</v>
      </c>
      <c r="E235" s="1">
        <v>215014604800</v>
      </c>
      <c r="F235" s="1">
        <v>33.1</v>
      </c>
      <c r="H235" s="1">
        <v>46.9</v>
      </c>
      <c r="J235" s="1">
        <v>33.5</v>
      </c>
      <c r="L235" s="1">
        <v>41</v>
      </c>
    </row>
    <row r="236" spans="1:12">
      <c r="A236" s="1" t="str">
        <f>"880962"</f>
        <v>880962</v>
      </c>
      <c r="B236" s="1" t="s">
        <v>247</v>
      </c>
      <c r="C236" s="1">
        <v>-0.89</v>
      </c>
      <c r="D236" s="1">
        <v>2124.09</v>
      </c>
      <c r="E236" s="1">
        <v>191217336320</v>
      </c>
      <c r="F236" s="1">
        <v>26.6</v>
      </c>
      <c r="H236" s="1">
        <v>52.8</v>
      </c>
      <c r="J236" s="1">
        <v>36.3</v>
      </c>
      <c r="L236" s="1">
        <v>31.9</v>
      </c>
    </row>
    <row r="237" spans="1:12">
      <c r="A237" s="1" t="str">
        <f>"880617"</f>
        <v>880617</v>
      </c>
      <c r="B237" s="1" t="s">
        <v>248</v>
      </c>
      <c r="C237" s="1">
        <v>-0.89</v>
      </c>
      <c r="D237" s="1">
        <v>1317.09</v>
      </c>
      <c r="E237" s="1">
        <v>76617506816</v>
      </c>
      <c r="F237" s="1">
        <v>29.6</v>
      </c>
      <c r="H237" s="1">
        <v>36.6</v>
      </c>
      <c r="J237" s="1">
        <v>44.9</v>
      </c>
      <c r="L237" s="1">
        <v>8.3</v>
      </c>
    </row>
    <row r="238" spans="1:12">
      <c r="A238" s="1" t="str">
        <f>"880916"</f>
        <v>880916</v>
      </c>
      <c r="B238" s="1" t="s">
        <v>249</v>
      </c>
      <c r="C238" s="1">
        <v>-0.9</v>
      </c>
      <c r="D238" s="1">
        <v>2773.89</v>
      </c>
      <c r="E238" s="1">
        <v>137730080768</v>
      </c>
      <c r="F238" s="1">
        <v>24.7</v>
      </c>
      <c r="H238" s="1">
        <v>38.5</v>
      </c>
      <c r="J238" s="1">
        <v>13.2</v>
      </c>
      <c r="L238" s="1">
        <v>37</v>
      </c>
    </row>
    <row r="239" spans="1:12">
      <c r="A239" s="1" t="str">
        <f>"880720"</f>
        <v>880720</v>
      </c>
      <c r="B239" s="1" t="s">
        <v>250</v>
      </c>
      <c r="C239" s="1">
        <v>-1</v>
      </c>
      <c r="D239" s="1">
        <v>1341.81</v>
      </c>
      <c r="E239" s="1">
        <v>214333407232</v>
      </c>
      <c r="F239" s="1">
        <v>48.3</v>
      </c>
      <c r="H239" s="1">
        <v>62.8</v>
      </c>
      <c r="J239" s="1">
        <v>54.5</v>
      </c>
      <c r="L239" s="1">
        <v>24.9</v>
      </c>
    </row>
    <row r="240" spans="1:12">
      <c r="A240" s="1" t="str">
        <f>"880746"</f>
        <v>880746</v>
      </c>
      <c r="B240" s="1" t="s">
        <v>251</v>
      </c>
      <c r="C240" s="1">
        <v>-1</v>
      </c>
      <c r="D240" s="1">
        <v>1840.19</v>
      </c>
      <c r="E240" s="1">
        <v>36721676288</v>
      </c>
      <c r="F240" s="1">
        <v>12.3</v>
      </c>
      <c r="H240" s="1">
        <v>22.8</v>
      </c>
      <c r="J240" s="1">
        <v>45.4</v>
      </c>
      <c r="L240" s="1">
        <v>57.1</v>
      </c>
    </row>
    <row r="241" spans="1:12">
      <c r="A241" s="1" t="str">
        <f>"880669"</f>
        <v>880669</v>
      </c>
      <c r="B241" s="1" t="s">
        <v>252</v>
      </c>
      <c r="C241" s="1">
        <v>-1.05</v>
      </c>
      <c r="D241" s="1">
        <v>1449.34</v>
      </c>
      <c r="E241" s="1">
        <v>161426178048</v>
      </c>
      <c r="F241" s="1">
        <v>26.8</v>
      </c>
      <c r="H241" s="1">
        <v>52.5</v>
      </c>
      <c r="J241" s="1">
        <v>73.4</v>
      </c>
      <c r="L241" s="1">
        <v>61.5</v>
      </c>
    </row>
    <row r="242" spans="1:12">
      <c r="A242" s="1" t="str">
        <f>"880967"</f>
        <v>880967</v>
      </c>
      <c r="B242" s="1" t="s">
        <v>253</v>
      </c>
      <c r="C242" s="1">
        <v>-1.08</v>
      </c>
      <c r="D242" s="1">
        <v>2118.63</v>
      </c>
      <c r="E242" s="1">
        <v>39737597952</v>
      </c>
      <c r="F242" s="1">
        <v>4.9</v>
      </c>
      <c r="H242" s="1">
        <v>22.1</v>
      </c>
      <c r="J242" s="1">
        <v>6.9</v>
      </c>
      <c r="L242" s="1">
        <v>34.9</v>
      </c>
    </row>
    <row r="243" spans="1:12">
      <c r="A243" s="1" t="str">
        <f>"880956"</f>
        <v>880956</v>
      </c>
      <c r="B243" s="1" t="s">
        <v>254</v>
      </c>
      <c r="C243" s="1">
        <v>-1.08</v>
      </c>
      <c r="D243" s="1">
        <v>1174.43</v>
      </c>
      <c r="E243" s="1">
        <v>226320089088</v>
      </c>
      <c r="F243" s="1">
        <v>36.2</v>
      </c>
      <c r="H243" s="1">
        <v>54.4</v>
      </c>
      <c r="J243" s="1">
        <v>40.3</v>
      </c>
      <c r="L243" s="1">
        <v>29.3</v>
      </c>
    </row>
    <row r="244" spans="1:12">
      <c r="A244" s="1" t="str">
        <f>"880609"</f>
        <v>880609</v>
      </c>
      <c r="B244" s="1" t="s">
        <v>255</v>
      </c>
      <c r="C244" s="1">
        <v>-1.16</v>
      </c>
      <c r="D244" s="1">
        <v>1704.31</v>
      </c>
      <c r="E244" s="1">
        <v>36059246592</v>
      </c>
      <c r="F244" s="1">
        <v>6</v>
      </c>
      <c r="H244" s="1">
        <v>12.3</v>
      </c>
      <c r="J244" s="1">
        <v>2.7</v>
      </c>
      <c r="L244" s="1">
        <v>21.4</v>
      </c>
    </row>
    <row r="245" spans="1:12">
      <c r="A245" s="1" t="str">
        <f>"880732"</f>
        <v>880732</v>
      </c>
      <c r="B245" s="1" t="s">
        <v>256</v>
      </c>
      <c r="C245" s="1">
        <v>-1.23</v>
      </c>
      <c r="D245" s="1">
        <v>1431.53</v>
      </c>
      <c r="E245" s="1">
        <v>261830557696</v>
      </c>
      <c r="F245" s="1">
        <v>30.6</v>
      </c>
      <c r="H245" s="1">
        <v>53.5</v>
      </c>
      <c r="J245" s="1">
        <v>22.1</v>
      </c>
      <c r="L245" s="1">
        <v>24.7</v>
      </c>
    </row>
    <row r="246" spans="1:12">
      <c r="A246" s="1" t="str">
        <f>"880901"</f>
        <v>880901</v>
      </c>
      <c r="B246" s="1" t="s">
        <v>257</v>
      </c>
      <c r="C246" s="1">
        <v>-1.25</v>
      </c>
      <c r="D246" s="1">
        <v>2618.53</v>
      </c>
      <c r="E246" s="1">
        <v>144763224064</v>
      </c>
      <c r="F246" s="1">
        <v>33.6</v>
      </c>
      <c r="H246" s="1">
        <v>45.3</v>
      </c>
      <c r="J246" s="1">
        <v>27.9</v>
      </c>
      <c r="L246" s="1">
        <v>40.5</v>
      </c>
    </row>
    <row r="247" spans="1:12">
      <c r="A247" s="1" t="str">
        <f>"880613"</f>
        <v>880613</v>
      </c>
      <c r="B247" s="1" t="s">
        <v>258</v>
      </c>
      <c r="C247" s="1">
        <v>-1.27</v>
      </c>
      <c r="D247" s="1">
        <v>1531.5</v>
      </c>
      <c r="E247" s="1">
        <v>12492368896</v>
      </c>
      <c r="F247" s="1">
        <v>3.2</v>
      </c>
      <c r="H247" s="1">
        <v>17.9</v>
      </c>
      <c r="J247" s="1">
        <v>11.1</v>
      </c>
      <c r="L247" s="1">
        <v>29.6</v>
      </c>
    </row>
    <row r="248" spans="1:12">
      <c r="A248" s="1" t="str">
        <f>"880590"</f>
        <v>880590</v>
      </c>
      <c r="B248" s="1" t="s">
        <v>259</v>
      </c>
      <c r="C248" s="1">
        <v>-1.28</v>
      </c>
      <c r="D248" s="1">
        <v>1723.33</v>
      </c>
      <c r="E248" s="1">
        <v>95919022080</v>
      </c>
      <c r="F248" s="1">
        <v>56.7</v>
      </c>
      <c r="H248" s="1">
        <v>61.2</v>
      </c>
      <c r="J248" s="1">
        <v>55.2</v>
      </c>
      <c r="L248" s="1">
        <v>13.5</v>
      </c>
    </row>
    <row r="249" spans="1:12">
      <c r="A249" s="1" t="str">
        <f>"880545"</f>
        <v>880545</v>
      </c>
      <c r="B249" s="1" t="s">
        <v>260</v>
      </c>
      <c r="C249" s="1">
        <v>-1.29</v>
      </c>
      <c r="D249" s="1">
        <v>3571.26</v>
      </c>
      <c r="E249" s="1">
        <v>198019235840</v>
      </c>
      <c r="F249" s="1">
        <v>25</v>
      </c>
      <c r="H249" s="1">
        <v>42.5</v>
      </c>
      <c r="J249" s="1">
        <v>50.5</v>
      </c>
      <c r="L249" s="1">
        <v>45.6</v>
      </c>
    </row>
    <row r="250" spans="1:12">
      <c r="A250" s="1" t="str">
        <f>"880762"</f>
        <v>880762</v>
      </c>
      <c r="B250" s="1" t="s">
        <v>261</v>
      </c>
      <c r="C250" s="1">
        <v>-1.29</v>
      </c>
      <c r="D250" s="1">
        <v>1735.99</v>
      </c>
      <c r="E250" s="1">
        <v>150372302848</v>
      </c>
      <c r="F250" s="1">
        <v>19.6</v>
      </c>
      <c r="H250" s="1">
        <v>35.7</v>
      </c>
      <c r="J250" s="1">
        <v>14.9</v>
      </c>
      <c r="L250" s="1">
        <v>38.2</v>
      </c>
    </row>
    <row r="251" spans="1:12">
      <c r="A251" s="1" t="str">
        <f>"880718"</f>
        <v>880718</v>
      </c>
      <c r="B251" s="1" t="s">
        <v>262</v>
      </c>
      <c r="C251" s="1">
        <v>-1.29</v>
      </c>
      <c r="D251" s="1">
        <v>1445.34</v>
      </c>
      <c r="E251" s="1">
        <v>55083831296</v>
      </c>
      <c r="F251" s="1">
        <v>61.6</v>
      </c>
      <c r="H251" s="1">
        <v>75</v>
      </c>
      <c r="J251" s="1">
        <v>74.5</v>
      </c>
      <c r="L251" s="1">
        <v>6.9</v>
      </c>
    </row>
    <row r="252" spans="1:12">
      <c r="A252" s="1" t="str">
        <f>"880921"</f>
        <v>880921</v>
      </c>
      <c r="B252" s="1" t="s">
        <v>263</v>
      </c>
      <c r="C252" s="1">
        <v>-1.31</v>
      </c>
      <c r="D252" s="1">
        <v>1977.23</v>
      </c>
      <c r="E252" s="1">
        <v>277297463296</v>
      </c>
      <c r="F252" s="1">
        <v>31.3</v>
      </c>
      <c r="H252" s="1">
        <v>55.3</v>
      </c>
      <c r="J252" s="1">
        <v>28.9</v>
      </c>
      <c r="L252" s="1">
        <v>27.9</v>
      </c>
    </row>
    <row r="253" spans="1:12">
      <c r="A253" s="1" t="str">
        <f>"880601"</f>
        <v>880601</v>
      </c>
      <c r="B253" s="1" t="s">
        <v>264</v>
      </c>
      <c r="C253" s="1">
        <v>-1.35</v>
      </c>
      <c r="D253" s="1">
        <v>1645.53</v>
      </c>
      <c r="E253" s="1">
        <v>102182748160</v>
      </c>
      <c r="F253" s="1">
        <v>21.9</v>
      </c>
      <c r="H253" s="1">
        <v>31.5</v>
      </c>
      <c r="J253" s="1">
        <v>14.6</v>
      </c>
      <c r="L253" s="1">
        <v>30.5</v>
      </c>
    </row>
    <row r="254" spans="1:12">
      <c r="A254" s="1" t="str">
        <f>"880722"</f>
        <v>880722</v>
      </c>
      <c r="B254" s="1" t="s">
        <v>265</v>
      </c>
      <c r="C254" s="1">
        <v>-1.37</v>
      </c>
      <c r="D254" s="1">
        <v>1607.61</v>
      </c>
      <c r="E254" s="1">
        <v>121345187840</v>
      </c>
      <c r="F254" s="1">
        <v>16.8</v>
      </c>
      <c r="H254" s="1">
        <v>35.2</v>
      </c>
      <c r="J254" s="1">
        <v>11.6</v>
      </c>
      <c r="L254" s="1">
        <v>23.7</v>
      </c>
    </row>
    <row r="255" spans="1:12">
      <c r="A255" s="1" t="str">
        <f>"880660"</f>
        <v>880660</v>
      </c>
      <c r="B255" s="1" t="s">
        <v>266</v>
      </c>
      <c r="C255" s="1">
        <v>-1.43</v>
      </c>
      <c r="D255" s="1">
        <v>1500.65</v>
      </c>
      <c r="E255" s="1">
        <v>22368823296</v>
      </c>
      <c r="F255" s="1">
        <v>35.7</v>
      </c>
      <c r="H255" s="1">
        <v>76.6</v>
      </c>
      <c r="J255" s="1">
        <v>12.8</v>
      </c>
      <c r="L255" s="1">
        <v>28.4</v>
      </c>
    </row>
    <row r="256" spans="1:12">
      <c r="A256" s="1" t="str">
        <f>"880621"</f>
        <v>880621</v>
      </c>
      <c r="B256" s="1" t="s">
        <v>267</v>
      </c>
      <c r="C256" s="1">
        <v>-1.47</v>
      </c>
      <c r="D256" s="1">
        <v>1497.21</v>
      </c>
      <c r="E256" s="1">
        <v>52279767040</v>
      </c>
      <c r="F256" s="1">
        <v>40.6</v>
      </c>
      <c r="H256" s="1">
        <v>49.5</v>
      </c>
      <c r="J256" s="1">
        <v>55</v>
      </c>
      <c r="L256" s="1">
        <v>6.5</v>
      </c>
    </row>
    <row r="257" spans="1:12">
      <c r="A257" s="1" t="str">
        <f>"880643"</f>
        <v>880643</v>
      </c>
      <c r="B257" s="1" t="s">
        <v>268</v>
      </c>
      <c r="C257" s="1">
        <v>-1.5</v>
      </c>
      <c r="D257" s="1">
        <v>1996.92</v>
      </c>
      <c r="E257" s="1">
        <v>53279014912</v>
      </c>
      <c r="F257" s="1">
        <v>35.9</v>
      </c>
      <c r="H257" s="1">
        <v>48.1</v>
      </c>
      <c r="J257" s="1">
        <v>38.6</v>
      </c>
      <c r="L257" s="1">
        <v>7.9</v>
      </c>
    </row>
    <row r="258" spans="1:12">
      <c r="A258" s="1" t="str">
        <f>"880645"</f>
        <v>880645</v>
      </c>
      <c r="B258" s="1" t="s">
        <v>269</v>
      </c>
      <c r="C258" s="1">
        <v>-1.71</v>
      </c>
      <c r="D258" s="1">
        <v>2239.44</v>
      </c>
      <c r="E258" s="1">
        <v>219543093248</v>
      </c>
      <c r="F258" s="1">
        <v>44.6</v>
      </c>
      <c r="H258" s="1">
        <v>60.9</v>
      </c>
      <c r="J258" s="1">
        <v>27.7</v>
      </c>
      <c r="L258" s="1">
        <v>13.2</v>
      </c>
    </row>
    <row r="259" spans="1:12">
      <c r="A259" s="1" t="str">
        <f>"880654"</f>
        <v>880654</v>
      </c>
      <c r="B259" s="1" t="s">
        <v>270</v>
      </c>
      <c r="C259" s="1">
        <v>-1.71</v>
      </c>
      <c r="D259" s="1">
        <v>2027.92</v>
      </c>
      <c r="E259" s="1">
        <v>117626372096</v>
      </c>
      <c r="F259" s="1">
        <v>23.8</v>
      </c>
      <c r="H259" s="1">
        <v>46</v>
      </c>
      <c r="J259" s="1">
        <v>12.3</v>
      </c>
      <c r="L259" s="1">
        <v>15.6</v>
      </c>
    </row>
    <row r="260" spans="1:12">
      <c r="A260" s="1" t="str">
        <f>"880647"</f>
        <v>880647</v>
      </c>
      <c r="B260" s="1" t="s">
        <v>271</v>
      </c>
      <c r="C260" s="1">
        <v>-1.81</v>
      </c>
      <c r="D260" s="1">
        <v>1709.92</v>
      </c>
      <c r="E260" s="1">
        <v>32762650624</v>
      </c>
      <c r="F260" s="1">
        <v>11.2</v>
      </c>
      <c r="H260" s="1">
        <v>27.1</v>
      </c>
      <c r="J260" s="1">
        <v>16.7</v>
      </c>
      <c r="L260" s="1">
        <v>24.4</v>
      </c>
    </row>
    <row r="261" spans="1:12">
      <c r="A261" s="1" t="str">
        <f>"880794"</f>
        <v>880794</v>
      </c>
      <c r="B261" s="1" t="s">
        <v>272</v>
      </c>
      <c r="C261" s="1">
        <v>-1.86</v>
      </c>
      <c r="D261" s="1">
        <v>1232.53</v>
      </c>
      <c r="E261" s="1">
        <v>21635063808</v>
      </c>
      <c r="F261" s="1">
        <v>17.2</v>
      </c>
      <c r="H261" s="1">
        <v>24</v>
      </c>
      <c r="J261" s="1">
        <v>8.1</v>
      </c>
      <c r="L261" s="1">
        <v>12.5</v>
      </c>
    </row>
    <row r="262" spans="1:12">
      <c r="A262" s="1" t="str">
        <f>"880689"</f>
        <v>880689</v>
      </c>
      <c r="B262" s="1" t="s">
        <v>273</v>
      </c>
      <c r="C262" s="1">
        <v>-1.96</v>
      </c>
      <c r="D262" s="1">
        <v>1626.48</v>
      </c>
      <c r="E262" s="1">
        <v>82652119040</v>
      </c>
      <c r="F262" s="1">
        <v>44.8</v>
      </c>
      <c r="H262" s="1">
        <v>63.5</v>
      </c>
      <c r="J262" s="1">
        <v>23.7</v>
      </c>
      <c r="L262" s="1">
        <v>41.9</v>
      </c>
    </row>
    <row r="263" spans="1:12">
      <c r="A263" s="1" t="str">
        <f>"880555"</f>
        <v>880555</v>
      </c>
      <c r="B263" s="1" t="s">
        <v>274</v>
      </c>
      <c r="C263" s="1">
        <v>-1.97</v>
      </c>
      <c r="D263" s="1">
        <v>1928.97</v>
      </c>
      <c r="E263" s="1">
        <v>27016855552</v>
      </c>
      <c r="F263" s="1">
        <v>14.2</v>
      </c>
      <c r="H263" s="1">
        <v>32.7</v>
      </c>
      <c r="J263" s="1">
        <v>3</v>
      </c>
      <c r="L263" s="1">
        <v>19.1</v>
      </c>
    </row>
    <row r="264" spans="1:12">
      <c r="A264" s="1" t="str">
        <f>"880693"</f>
        <v>880693</v>
      </c>
      <c r="B264" s="1" t="s">
        <v>275</v>
      </c>
      <c r="C264" s="1">
        <v>-2</v>
      </c>
      <c r="D264" s="1">
        <v>1468.27</v>
      </c>
      <c r="E264" s="1">
        <v>127660154880</v>
      </c>
      <c r="F264" s="1">
        <v>39.7</v>
      </c>
      <c r="H264" s="1">
        <v>67.9</v>
      </c>
      <c r="J264" s="1">
        <v>20</v>
      </c>
      <c r="L264" s="1">
        <v>13.9</v>
      </c>
    </row>
    <row r="265" spans="1:12">
      <c r="A265" s="1" t="str">
        <f>"880668"</f>
        <v>880668</v>
      </c>
      <c r="B265" s="1" t="s">
        <v>276</v>
      </c>
      <c r="C265" s="1">
        <v>-2.16</v>
      </c>
      <c r="D265" s="1">
        <v>1346.89</v>
      </c>
      <c r="E265" s="1">
        <v>13840660480</v>
      </c>
      <c r="F265" s="1">
        <v>28.5</v>
      </c>
      <c r="H265" s="1">
        <v>58.8</v>
      </c>
      <c r="J265" s="1">
        <v>78.5</v>
      </c>
      <c r="L265" s="1">
        <v>34</v>
      </c>
    </row>
    <row r="266" spans="1:12">
      <c r="A266" s="1" t="str">
        <f>"880657"</f>
        <v>880657</v>
      </c>
      <c r="B266" s="1" t="s">
        <v>277</v>
      </c>
      <c r="C266" s="1">
        <v>-2.24</v>
      </c>
      <c r="D266" s="1">
        <v>1328.87</v>
      </c>
      <c r="E266" s="1">
        <v>17412110336</v>
      </c>
      <c r="F266" s="1">
        <v>58.6</v>
      </c>
      <c r="H266" s="1">
        <v>68.2</v>
      </c>
      <c r="J266" s="1">
        <v>61.3</v>
      </c>
      <c r="L266" s="1">
        <v>75.7</v>
      </c>
    </row>
    <row r="267" spans="1:12">
      <c r="A267" s="1" t="str">
        <f>"880959"</f>
        <v>880959</v>
      </c>
      <c r="B267" s="1" t="s">
        <v>278</v>
      </c>
      <c r="C267" s="1">
        <v>-2.25</v>
      </c>
      <c r="D267" s="1">
        <v>1260.86</v>
      </c>
      <c r="E267" s="1">
        <v>28244506624</v>
      </c>
      <c r="F267" s="1">
        <v>31.7</v>
      </c>
      <c r="H267" s="1">
        <v>51.8</v>
      </c>
      <c r="J267" s="1">
        <v>58.9</v>
      </c>
      <c r="L267" s="1">
        <v>33.5</v>
      </c>
    </row>
    <row r="268" spans="1:12">
      <c r="A268" s="1" t="str">
        <f>"880579"</f>
        <v>880579</v>
      </c>
      <c r="B268" s="1" t="s">
        <v>279</v>
      </c>
      <c r="C268" s="1">
        <v>-2.34</v>
      </c>
      <c r="D268" s="1">
        <v>1511.12</v>
      </c>
      <c r="E268" s="1">
        <v>63648231424</v>
      </c>
      <c r="F268" s="1">
        <v>25.4</v>
      </c>
      <c r="H268" s="1">
        <v>64.7</v>
      </c>
      <c r="J268" s="1">
        <v>29.8</v>
      </c>
      <c r="L268" s="1">
        <v>38.9</v>
      </c>
    </row>
    <row r="269" spans="1:12">
      <c r="A269" s="1" t="str">
        <f>"880692"</f>
        <v>880692</v>
      </c>
      <c r="B269" s="1" t="s">
        <v>280</v>
      </c>
      <c r="C269" s="1">
        <v>-2.86</v>
      </c>
      <c r="D269" s="1">
        <v>1482.12</v>
      </c>
      <c r="E269" s="1">
        <v>68111699968</v>
      </c>
      <c r="F269" s="1">
        <v>68.4</v>
      </c>
      <c r="H269" s="1">
        <v>80.8</v>
      </c>
      <c r="J269" s="1">
        <v>83.4</v>
      </c>
      <c r="L269" s="1">
        <v>3</v>
      </c>
    </row>
    <row r="270" spans="1:12">
      <c r="A270" s="1" t="str">
        <f>"880701"</f>
        <v>880701</v>
      </c>
      <c r="B270" s="1" t="s">
        <v>281</v>
      </c>
      <c r="C270" s="1">
        <v>-3.75</v>
      </c>
      <c r="D270" s="1">
        <v>2261.58</v>
      </c>
      <c r="E270" s="1">
        <v>48100036608</v>
      </c>
      <c r="F270" s="1">
        <v>58.1</v>
      </c>
      <c r="H270" s="1">
        <v>76.4</v>
      </c>
      <c r="J270" s="1">
        <v>27.2</v>
      </c>
      <c r="L270" s="1">
        <v>10.7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2026-02-27T09:14:32Z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